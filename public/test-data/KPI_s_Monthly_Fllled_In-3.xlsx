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injuryclinics-my.sharepoint.com/personal/lori_nwinjuryclinics_com/Documents/Documents/"/>
    </mc:Choice>
  </mc:AlternateContent>
  <xr:revisionPtr revIDLastSave="116" documentId="14_{523B8040-03F1-4B16-9FE0-CAF723B300DC}" xr6:coauthVersionLast="47" xr6:coauthVersionMax="47" xr10:uidLastSave="{202BE9CF-C78F-4E1F-9174-3C5C02D5CD8F}"/>
  <bookViews>
    <workbookView xWindow="-120" yWindow="-120" windowWidth="29040" windowHeight="15720" activeTab="4" xr2:uid="{08A5E089-AB0F-4E23-BC51-1A0C556DA392}"/>
  </bookViews>
  <sheets>
    <sheet name="Copy" sheetId="6" r:id="rId1"/>
    <sheet name="Sept" sheetId="1" r:id="rId2"/>
    <sheet name="Oct" sheetId="2" r:id="rId3"/>
    <sheet name="Nov" sheetId="3" r:id="rId4"/>
    <sheet name="Dec" sheetId="4" r:id="rId5"/>
    <sheet name="Jan-2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7" l="1"/>
  <c r="O30" i="7"/>
  <c r="N30" i="7"/>
  <c r="M30" i="7"/>
  <c r="L30" i="7"/>
  <c r="K30" i="7"/>
  <c r="G28" i="7"/>
  <c r="F28" i="7"/>
  <c r="D28" i="7"/>
  <c r="E26" i="7"/>
  <c r="D26" i="7"/>
  <c r="D25" i="7"/>
  <c r="E25" i="7" s="1"/>
  <c r="K22" i="7"/>
  <c r="G21" i="7"/>
  <c r="F21" i="7"/>
  <c r="G15" i="7"/>
  <c r="F15" i="7"/>
  <c r="C15" i="7"/>
  <c r="B15" i="7"/>
  <c r="D15" i="7" s="1"/>
  <c r="E14" i="7"/>
  <c r="L13" i="7"/>
  <c r="K13" i="7"/>
  <c r="E13" i="7"/>
  <c r="E12" i="7"/>
  <c r="G9" i="7"/>
  <c r="F9" i="7"/>
  <c r="C9" i="7"/>
  <c r="B9" i="7"/>
  <c r="D9" i="7" s="1"/>
  <c r="E9" i="7" s="1"/>
  <c r="E8" i="7"/>
  <c r="D8" i="7"/>
  <c r="D7" i="7"/>
  <c r="E7" i="7" s="1"/>
  <c r="E6" i="7"/>
  <c r="D6" i="7"/>
  <c r="E25" i="4"/>
  <c r="D28" i="4"/>
  <c r="D13" i="4"/>
  <c r="E13" i="4" s="1"/>
  <c r="D14" i="4"/>
  <c r="D12" i="4"/>
  <c r="E26" i="3"/>
  <c r="E28" i="3"/>
  <c r="E21" i="3"/>
  <c r="D14" i="3"/>
  <c r="E14" i="3" s="1"/>
  <c r="D13" i="3"/>
  <c r="D12" i="3"/>
  <c r="E25" i="2"/>
  <c r="E20" i="2"/>
  <c r="E19" i="2"/>
  <c r="E24" i="2"/>
  <c r="E18" i="2"/>
  <c r="E27" i="2"/>
  <c r="E26" i="2"/>
  <c r="D13" i="2"/>
  <c r="E13" i="2" s="1"/>
  <c r="P30" i="4"/>
  <c r="O30" i="4"/>
  <c r="N30" i="4"/>
  <c r="M30" i="4"/>
  <c r="L30" i="4"/>
  <c r="K30" i="4"/>
  <c r="G28" i="4"/>
  <c r="F28" i="4"/>
  <c r="K22" i="4"/>
  <c r="G21" i="4"/>
  <c r="F21" i="4"/>
  <c r="G15" i="4"/>
  <c r="F15" i="4"/>
  <c r="C15" i="4"/>
  <c r="B15" i="4"/>
  <c r="E14" i="4"/>
  <c r="L13" i="4"/>
  <c r="K13" i="4"/>
  <c r="E12" i="4"/>
  <c r="G9" i="4"/>
  <c r="F9" i="4"/>
  <c r="C9" i="4"/>
  <c r="B9" i="4"/>
  <c r="D8" i="4"/>
  <c r="E8" i="4" s="1"/>
  <c r="D7" i="4"/>
  <c r="E7" i="4" s="1"/>
  <c r="D6" i="4"/>
  <c r="E6" i="4" s="1"/>
  <c r="P30" i="3"/>
  <c r="O30" i="3"/>
  <c r="N30" i="3"/>
  <c r="M30" i="3"/>
  <c r="L30" i="3"/>
  <c r="K30" i="3"/>
  <c r="G28" i="3"/>
  <c r="F28" i="3"/>
  <c r="D26" i="3"/>
  <c r="E25" i="3"/>
  <c r="K22" i="3"/>
  <c r="G21" i="3"/>
  <c r="F21" i="3"/>
  <c r="G15" i="3"/>
  <c r="F15" i="3"/>
  <c r="C15" i="3"/>
  <c r="B15" i="3"/>
  <c r="L13" i="3"/>
  <c r="K13" i="3"/>
  <c r="E13" i="3"/>
  <c r="E12" i="3"/>
  <c r="G9" i="3"/>
  <c r="F9" i="3"/>
  <c r="C9" i="3"/>
  <c r="B9" i="3"/>
  <c r="D8" i="3"/>
  <c r="E8" i="3" s="1"/>
  <c r="D7" i="3"/>
  <c r="E7" i="3" s="1"/>
  <c r="D6" i="3"/>
  <c r="E6" i="3" s="1"/>
  <c r="O30" i="2"/>
  <c r="N30" i="2"/>
  <c r="M30" i="2"/>
  <c r="L30" i="2"/>
  <c r="K30" i="2"/>
  <c r="J30" i="2"/>
  <c r="G28" i="2"/>
  <c r="F28" i="2"/>
  <c r="D28" i="2"/>
  <c r="D26" i="2"/>
  <c r="J22" i="2"/>
  <c r="G21" i="2"/>
  <c r="F21" i="2"/>
  <c r="G15" i="2"/>
  <c r="F15" i="2"/>
  <c r="C15" i="2"/>
  <c r="B15" i="2"/>
  <c r="E14" i="2"/>
  <c r="K13" i="2"/>
  <c r="J13" i="2"/>
  <c r="E12" i="2"/>
  <c r="G9" i="2"/>
  <c r="F9" i="2"/>
  <c r="C9" i="2"/>
  <c r="B9" i="2"/>
  <c r="D8" i="2"/>
  <c r="E8" i="2" s="1"/>
  <c r="D7" i="2"/>
  <c r="E7" i="2" s="1"/>
  <c r="D6" i="2"/>
  <c r="E6" i="2" s="1"/>
  <c r="L30" i="6"/>
  <c r="K30" i="6"/>
  <c r="E27" i="6"/>
  <c r="E26" i="6"/>
  <c r="E25" i="6"/>
  <c r="E24" i="6"/>
  <c r="E20" i="6"/>
  <c r="E19" i="6"/>
  <c r="E18" i="6"/>
  <c r="D24" i="6"/>
  <c r="D25" i="6"/>
  <c r="D26" i="6"/>
  <c r="D27" i="6"/>
  <c r="D28" i="6"/>
  <c r="D18" i="6"/>
  <c r="D19" i="6"/>
  <c r="D21" i="6" s="1"/>
  <c r="D20" i="6"/>
  <c r="D18" i="7" l="1"/>
  <c r="E15" i="7"/>
  <c r="D15" i="4"/>
  <c r="D9" i="4"/>
  <c r="E9" i="4" s="1"/>
  <c r="D15" i="3"/>
  <c r="D9" i="3"/>
  <c r="E9" i="3" s="1"/>
  <c r="D9" i="2"/>
  <c r="E9" i="2" s="1"/>
  <c r="D15" i="2"/>
  <c r="D28" i="3"/>
  <c r="D19" i="7" l="1"/>
  <c r="E19" i="7" s="1"/>
  <c r="E18" i="7"/>
  <c r="D20" i="7"/>
  <c r="E20" i="7" s="1"/>
  <c r="E15" i="4"/>
  <c r="E15" i="3"/>
  <c r="E15" i="2"/>
  <c r="E19" i="4"/>
  <c r="E18" i="4"/>
  <c r="D20" i="4"/>
  <c r="E20" i="4" s="1"/>
  <c r="E19" i="3"/>
  <c r="D21" i="7" l="1"/>
  <c r="D24" i="7" s="1"/>
  <c r="D21" i="4"/>
  <c r="E27" i="4" s="1"/>
  <c r="E20" i="3"/>
  <c r="D21" i="3"/>
  <c r="D21" i="2"/>
  <c r="D24" i="2" s="1"/>
  <c r="E27" i="1"/>
  <c r="E26" i="1"/>
  <c r="E25" i="1"/>
  <c r="E24" i="1"/>
  <c r="E20" i="1"/>
  <c r="E19" i="1"/>
  <c r="E18" i="1"/>
  <c r="C15" i="6"/>
  <c r="F15" i="6"/>
  <c r="P30" i="6"/>
  <c r="O30" i="6"/>
  <c r="N30" i="6"/>
  <c r="M30" i="6"/>
  <c r="G28" i="6"/>
  <c r="F28" i="6"/>
  <c r="K22" i="6"/>
  <c r="G21" i="6"/>
  <c r="F21" i="6"/>
  <c r="G15" i="6"/>
  <c r="B15" i="6"/>
  <c r="E14" i="6"/>
  <c r="L13" i="6"/>
  <c r="K13" i="6"/>
  <c r="E13" i="6"/>
  <c r="E12" i="6"/>
  <c r="G9" i="6"/>
  <c r="F9" i="6"/>
  <c r="C9" i="6"/>
  <c r="B9" i="6"/>
  <c r="D8" i="6"/>
  <c r="E8" i="6" s="1"/>
  <c r="D7" i="6"/>
  <c r="E7" i="6" s="1"/>
  <c r="D6" i="6"/>
  <c r="E6" i="6" s="1"/>
  <c r="E15" i="1"/>
  <c r="E14" i="1"/>
  <c r="E13" i="1"/>
  <c r="E12" i="1"/>
  <c r="E9" i="1"/>
  <c r="E8" i="1"/>
  <c r="E7" i="1"/>
  <c r="E6" i="1"/>
  <c r="D14" i="1"/>
  <c r="D13" i="1"/>
  <c r="D12" i="1"/>
  <c r="D8" i="1"/>
  <c r="D7" i="1"/>
  <c r="D6" i="1"/>
  <c r="F21" i="1"/>
  <c r="G21" i="1"/>
  <c r="G28" i="1"/>
  <c r="F28" i="1"/>
  <c r="D27" i="7" l="1"/>
  <c r="E27" i="7" s="1"/>
  <c r="E24" i="7"/>
  <c r="E24" i="3"/>
  <c r="E27" i="3"/>
  <c r="D15" i="6"/>
  <c r="E15" i="6" s="1"/>
  <c r="D9" i="6"/>
  <c r="E9" i="6"/>
  <c r="K22" i="1"/>
  <c r="P30" i="1"/>
  <c r="O30" i="1"/>
  <c r="N30" i="1"/>
  <c r="M30" i="1"/>
  <c r="L30" i="1"/>
  <c r="K30" i="1"/>
  <c r="B9" i="1"/>
  <c r="L13" i="1" l="1"/>
  <c r="K13" i="1"/>
  <c r="C15" i="1"/>
  <c r="C9" i="1"/>
  <c r="D9" i="1" s="1"/>
  <c r="G15" i="1"/>
  <c r="G9" i="1"/>
  <c r="F15" i="1"/>
  <c r="F9" i="1"/>
  <c r="B15" i="1"/>
  <c r="D15" i="1" s="1"/>
</calcChain>
</file>

<file path=xl/sharedStrings.xml><?xml version="1.0" encoding="utf-8"?>
<sst xmlns="http://schemas.openxmlformats.org/spreadsheetml/2006/main" count="433" uniqueCount="78">
  <si>
    <t>Northwest Injury Clinics</t>
  </si>
  <si>
    <t>Revenue</t>
  </si>
  <si>
    <t>Kai Jones</t>
  </si>
  <si>
    <t>Stephen McPhee</t>
  </si>
  <si>
    <t>Trevor Gilbert</t>
  </si>
  <si>
    <t>Jeffrey Prause</t>
  </si>
  <si>
    <t>Edgard Candido</t>
  </si>
  <si>
    <t>Dalayna Soares</t>
  </si>
  <si>
    <t>Baylie Bender</t>
  </si>
  <si>
    <t>Maria Hernandez</t>
  </si>
  <si>
    <t>Shanice Bell</t>
  </si>
  <si>
    <t>Margaret McLain</t>
  </si>
  <si>
    <t>Referrals</t>
  </si>
  <si>
    <t>New Patients</t>
  </si>
  <si>
    <t>HI</t>
  </si>
  <si>
    <t>MVA</t>
  </si>
  <si>
    <t>Total</t>
  </si>
  <si>
    <t>Provider Name</t>
  </si>
  <si>
    <t>Totals</t>
  </si>
  <si>
    <t>Self Ref</t>
  </si>
  <si>
    <t>%</t>
  </si>
  <si>
    <t>Visits</t>
  </si>
  <si>
    <t>Charges</t>
  </si>
  <si>
    <t>W/C</t>
  </si>
  <si>
    <t>Self Pay</t>
  </si>
  <si>
    <t xml:space="preserve">Chiro  </t>
  </si>
  <si>
    <t>Per Visit Avg</t>
  </si>
  <si>
    <t xml:space="preserve">Mid Levels  </t>
  </si>
  <si>
    <t>Chiro Patient Total</t>
  </si>
  <si>
    <t>Mid Level Patient Total</t>
  </si>
  <si>
    <t>Massage Therapist Patient Total</t>
  </si>
  <si>
    <t>LEINS</t>
  </si>
  <si>
    <t>Cash Needs Atty</t>
  </si>
  <si>
    <t>Scheduled</t>
  </si>
  <si>
    <t>Accident Help Line</t>
  </si>
  <si>
    <t>Anderson</t>
  </si>
  <si>
    <t>Fielding</t>
  </si>
  <si>
    <t>Morfin Law</t>
  </si>
  <si>
    <t>Alpine Law Group</t>
  </si>
  <si>
    <t>Jessica Baird</t>
  </si>
  <si>
    <t>Referral Source</t>
  </si>
  <si>
    <t>Selena Brooks</t>
  </si>
  <si>
    <t>Austin Miner</t>
  </si>
  <si>
    <t>Consult</t>
  </si>
  <si>
    <t>Pain Management</t>
  </si>
  <si>
    <t>Ritchie</t>
  </si>
  <si>
    <t>Total Visits</t>
  </si>
  <si>
    <t>Pain Management Patient Total</t>
  </si>
  <si>
    <t>Leticia Guzman-Mariscal</t>
  </si>
  <si>
    <t>Pain NP</t>
  </si>
  <si>
    <t>Procedure</t>
  </si>
  <si>
    <t>Friends/Family</t>
  </si>
  <si>
    <t>Smart Law</t>
  </si>
  <si>
    <t>Roach &amp; Bishop</t>
  </si>
  <si>
    <t>Massage Therapist  Kennewick</t>
  </si>
  <si>
    <t>Massage Therapist  Pasco</t>
  </si>
  <si>
    <t>WC</t>
  </si>
  <si>
    <t>Total Patient Visits</t>
  </si>
  <si>
    <t>Aaron Jorgensen (MRI's)</t>
  </si>
  <si>
    <t>Pain Post</t>
  </si>
  <si>
    <t>Weinberg Law</t>
  </si>
  <si>
    <t>Pathway Law</t>
  </si>
  <si>
    <t xml:space="preserve">   September </t>
  </si>
  <si>
    <t>Swapp</t>
  </si>
  <si>
    <t>October</t>
  </si>
  <si>
    <t>November</t>
  </si>
  <si>
    <t xml:space="preserve">Alpine Law </t>
  </si>
  <si>
    <t>Clift Top Law</t>
  </si>
  <si>
    <t>Allen Brecke</t>
  </si>
  <si>
    <t>Earl &amp; Edward</t>
  </si>
  <si>
    <t>Tamaki Law</t>
  </si>
  <si>
    <t>Google/Website/Zocdoc</t>
  </si>
  <si>
    <t>Bothell</t>
  </si>
  <si>
    <t>Brumley Law</t>
  </si>
  <si>
    <t>Fiore Law</t>
  </si>
  <si>
    <t>Sears Injury Law</t>
  </si>
  <si>
    <t>Earl &amp; Edwards</t>
  </si>
  <si>
    <t>Fielding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</si>
</sst>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164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10" fontId="6" fillId="0" borderId="1" xfId="0" applyNumberFormat="1" applyFont="1" applyBorder="1"/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/>
    <xf numFmtId="164" fontId="0" fillId="0" borderId="1" xfId="0" applyNumberForma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3" fillId="0" borderId="3" xfId="0" applyFont="1" applyBorder="1" applyAlignment="1">
      <alignment horizontal="center"/>
    </xf>
    <xf numFmtId="0" fontId="1" fillId="2" borderId="1" xfId="0" applyFont="1" applyFill="1" applyBorder="1"/>
    <xf numFmtId="10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0" fillId="2" borderId="1" xfId="0" applyNumberFormat="1" applyFill="1" applyBorder="1"/>
    <xf numFmtId="10" fontId="6" fillId="2" borderId="1" xfId="0" applyNumberFormat="1" applyFont="1" applyFill="1" applyBorder="1"/>
    <xf numFmtId="10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10" fontId="0" fillId="0" borderId="4" xfId="0" applyNumberFormat="1" applyBorder="1"/>
    <xf numFmtId="0" fontId="1" fillId="0" borderId="5" xfId="0" applyFont="1" applyBorder="1"/>
    <xf numFmtId="0" fontId="1" fillId="0" borderId="6" xfId="0" applyFont="1" applyBorder="1"/>
    <xf numFmtId="10" fontId="1" fillId="0" borderId="7" xfId="0" applyNumberFormat="1" applyFont="1" applyBorder="1"/>
    <xf numFmtId="0" fontId="1" fillId="3" borderId="1" xfId="0" applyFont="1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1" fontId="0" fillId="3" borderId="1" xfId="0" applyNumberFormat="1" applyFill="1" applyBorder="1"/>
    <xf numFmtId="0" fontId="0" fillId="2" borderId="1" xfId="0" applyFill="1" applyBorder="1"/>
    <xf numFmtId="2" fontId="0" fillId="0" borderId="1" xfId="0" applyNumberFormat="1" applyBorder="1"/>
    <xf numFmtId="2" fontId="1" fillId="2" borderId="1" xfId="0" applyNumberFormat="1" applyFont="1" applyFill="1" applyBorder="1"/>
    <xf numFmtId="10" fontId="1" fillId="0" borderId="0" xfId="0" applyNumberFormat="1" applyFont="1"/>
    <xf numFmtId="1" fontId="1" fillId="2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/>
    <xf numFmtId="164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97E9-8C8E-4599-B45A-0B0D51FD2425}">
  <dimension ref="A1:P30"/>
  <sheetViews>
    <sheetView workbookViewId="0">
      <selection sqref="A1:XFD1048576"/>
    </sheetView>
  </sheetViews>
  <sheetFormatPr defaultRowHeight="15" x14ac:dyDescent="0.25"/>
  <cols>
    <col min="1" max="1" width="31.85546875" customWidth="1"/>
    <col min="2" max="2" width="10.28515625" customWidth="1"/>
    <col min="3" max="4" width="10.140625" customWidth="1"/>
    <col min="5" max="5" width="10" customWidth="1"/>
    <col min="6" max="6" width="15.5703125" style="11" customWidth="1"/>
    <col min="7" max="7" width="13.140625" style="11" customWidth="1"/>
    <col min="8" max="8" width="7.7109375" customWidth="1"/>
    <col min="9" max="9" width="4" customWidth="1"/>
    <col min="10" max="10" width="28.5703125" customWidth="1"/>
    <col min="11" max="11" width="13.28515625" customWidth="1"/>
    <col min="12" max="12" width="11.140625" customWidth="1"/>
    <col min="13" max="14" width="8.5703125" customWidth="1"/>
    <col min="15" max="15" width="17.28515625" customWidth="1"/>
    <col min="16" max="16" width="11.5703125" customWidth="1"/>
  </cols>
  <sheetData>
    <row r="1" spans="1:16" ht="27" customHeight="1" x14ac:dyDescent="0.35">
      <c r="A1" s="14" t="s">
        <v>0</v>
      </c>
      <c r="B1" s="46" t="s">
        <v>62</v>
      </c>
      <c r="C1" s="13"/>
      <c r="D1" s="13"/>
      <c r="E1" s="13"/>
      <c r="H1" s="8"/>
    </row>
    <row r="2" spans="1:16" ht="12.75" customHeight="1" x14ac:dyDescent="0.4">
      <c r="A2" s="12"/>
    </row>
    <row r="3" spans="1:16" ht="15.75" x14ac:dyDescent="0.25">
      <c r="A3" s="5" t="s">
        <v>17</v>
      </c>
      <c r="B3" s="19" t="s">
        <v>13</v>
      </c>
      <c r="C3" s="19" t="s">
        <v>21</v>
      </c>
      <c r="D3" s="19" t="s">
        <v>46</v>
      </c>
      <c r="E3" s="19" t="s">
        <v>26</v>
      </c>
      <c r="F3" s="9" t="s">
        <v>22</v>
      </c>
      <c r="G3" s="9" t="s">
        <v>1</v>
      </c>
      <c r="H3" s="16"/>
      <c r="I3" s="6"/>
      <c r="J3" s="5" t="s">
        <v>12</v>
      </c>
      <c r="K3" s="5" t="s">
        <v>18</v>
      </c>
      <c r="L3" s="2" t="s">
        <v>33</v>
      </c>
      <c r="M3" s="28" t="s">
        <v>20</v>
      </c>
      <c r="O3" s="2" t="s">
        <v>40</v>
      </c>
      <c r="P3" s="2" t="s">
        <v>16</v>
      </c>
    </row>
    <row r="4" spans="1:16" ht="15.75" x14ac:dyDescent="0.25">
      <c r="A4" s="5"/>
      <c r="B4" s="5"/>
      <c r="C4" s="5"/>
      <c r="D4" s="5"/>
      <c r="E4" s="19"/>
      <c r="F4" s="9"/>
      <c r="G4" s="9"/>
      <c r="H4" s="16"/>
      <c r="I4" s="6"/>
      <c r="J4" s="5"/>
      <c r="K4" s="21"/>
      <c r="L4" s="1"/>
      <c r="M4" s="1"/>
      <c r="O4" s="1" t="s">
        <v>63</v>
      </c>
      <c r="P4" s="1"/>
    </row>
    <row r="5" spans="1:16" ht="15" customHeight="1" x14ac:dyDescent="0.25">
      <c r="A5" s="2" t="s">
        <v>25</v>
      </c>
      <c r="B5" s="1"/>
      <c r="C5" s="1"/>
      <c r="D5" s="1"/>
      <c r="E5" s="1"/>
      <c r="F5" s="10"/>
      <c r="G5" s="10"/>
      <c r="H5" s="17"/>
      <c r="I5" s="7"/>
      <c r="J5" s="1" t="s">
        <v>23</v>
      </c>
      <c r="K5" s="1"/>
      <c r="L5" s="1"/>
      <c r="M5" s="4"/>
      <c r="O5" s="1" t="s">
        <v>35</v>
      </c>
      <c r="P5" s="1"/>
    </row>
    <row r="6" spans="1:16" x14ac:dyDescent="0.25">
      <c r="A6" s="1" t="s">
        <v>4</v>
      </c>
      <c r="B6" s="1"/>
      <c r="C6" s="1"/>
      <c r="D6" s="1">
        <f>B6+C6</f>
        <v>0</v>
      </c>
      <c r="E6" s="40" t="e">
        <f>F6/D6</f>
        <v>#DIV/0!</v>
      </c>
      <c r="F6" s="3"/>
      <c r="G6" s="3"/>
      <c r="H6" s="15"/>
      <c r="J6" s="1" t="s">
        <v>14</v>
      </c>
      <c r="K6" s="1"/>
      <c r="L6" s="1"/>
      <c r="M6" s="4"/>
      <c r="O6" s="1" t="s">
        <v>36</v>
      </c>
      <c r="P6" s="1"/>
    </row>
    <row r="7" spans="1:16" x14ac:dyDescent="0.25">
      <c r="A7" s="1" t="s">
        <v>5</v>
      </c>
      <c r="B7" s="1"/>
      <c r="C7" s="1"/>
      <c r="D7" s="1">
        <f>B7+C7</f>
        <v>0</v>
      </c>
      <c r="E7" s="40" t="e">
        <f>F7/D7</f>
        <v>#DIV/0!</v>
      </c>
      <c r="F7" s="3"/>
      <c r="G7" s="3"/>
      <c r="H7" s="15"/>
      <c r="J7" s="1" t="s">
        <v>19</v>
      </c>
      <c r="K7" s="1"/>
      <c r="L7" s="1"/>
      <c r="M7" s="4"/>
      <c r="O7" s="1" t="s">
        <v>45</v>
      </c>
      <c r="P7" s="1"/>
    </row>
    <row r="8" spans="1:16" x14ac:dyDescent="0.25">
      <c r="A8" s="1" t="s">
        <v>6</v>
      </c>
      <c r="B8" s="1"/>
      <c r="C8" s="1"/>
      <c r="D8" s="1">
        <f>B8+C8</f>
        <v>0</v>
      </c>
      <c r="E8" s="40" t="e">
        <f>F8/D8</f>
        <v>#DIV/0!</v>
      </c>
      <c r="F8" s="3"/>
      <c r="G8" s="3"/>
      <c r="H8" s="15"/>
      <c r="J8" s="1" t="s">
        <v>51</v>
      </c>
      <c r="K8" s="1"/>
      <c r="L8" s="1"/>
      <c r="M8" s="4"/>
      <c r="O8" s="1" t="s">
        <v>37</v>
      </c>
      <c r="P8" s="1"/>
    </row>
    <row r="9" spans="1:16" x14ac:dyDescent="0.25">
      <c r="A9" s="22" t="s">
        <v>28</v>
      </c>
      <c r="B9" s="22">
        <f>SUM(B6:B8)</f>
        <v>0</v>
      </c>
      <c r="C9" s="22">
        <f>SUM(C6:C8)</f>
        <v>0</v>
      </c>
      <c r="D9" s="22">
        <f>B9+C9</f>
        <v>0</v>
      </c>
      <c r="E9" s="41" t="e">
        <f>F9/D9</f>
        <v>#DIV/0!</v>
      </c>
      <c r="F9" s="25">
        <f>SUM(F6:F8)</f>
        <v>0</v>
      </c>
      <c r="G9" s="25">
        <f>SUM(G6:G8)</f>
        <v>0</v>
      </c>
      <c r="H9" s="26"/>
      <c r="J9" s="1" t="s">
        <v>15</v>
      </c>
      <c r="K9" s="1"/>
      <c r="L9" s="1"/>
      <c r="M9" s="4"/>
      <c r="O9" s="1" t="s">
        <v>38</v>
      </c>
      <c r="P9" s="1"/>
    </row>
    <row r="10" spans="1:16" x14ac:dyDescent="0.25">
      <c r="A10" s="2"/>
      <c r="B10" s="10"/>
      <c r="C10" s="10"/>
      <c r="D10" s="10"/>
      <c r="E10" s="27"/>
      <c r="F10" s="3"/>
      <c r="G10" s="3"/>
      <c r="H10" s="15"/>
      <c r="J10" s="1" t="s">
        <v>34</v>
      </c>
      <c r="K10" s="1"/>
      <c r="L10" s="1"/>
      <c r="M10" s="4"/>
      <c r="O10" s="1" t="s">
        <v>52</v>
      </c>
      <c r="P10" s="1"/>
    </row>
    <row r="11" spans="1:16" x14ac:dyDescent="0.25">
      <c r="A11" s="2" t="s">
        <v>27</v>
      </c>
      <c r="B11" s="1"/>
      <c r="C11" s="1"/>
      <c r="D11" s="1"/>
      <c r="E11" s="4"/>
      <c r="F11" s="10"/>
      <c r="G11" s="10"/>
      <c r="H11" s="17"/>
      <c r="J11" s="29"/>
      <c r="K11" s="29"/>
      <c r="L11" s="29"/>
      <c r="M11" s="30"/>
      <c r="O11" s="1" t="s">
        <v>60</v>
      </c>
      <c r="P11" s="1"/>
    </row>
    <row r="12" spans="1:16" ht="15.75" thickBot="1" x14ac:dyDescent="0.3">
      <c r="A12" s="1" t="s">
        <v>2</v>
      </c>
      <c r="B12" s="1"/>
      <c r="C12" s="1"/>
      <c r="D12" s="1"/>
      <c r="E12" s="40" t="e">
        <f>F12/D12</f>
        <v>#DIV/0!</v>
      </c>
      <c r="F12" s="3"/>
      <c r="G12" s="18"/>
      <c r="H12" s="15"/>
      <c r="I12" s="7"/>
      <c r="J12" s="29"/>
      <c r="K12" s="29"/>
      <c r="L12" s="29"/>
      <c r="M12" s="30"/>
      <c r="O12" s="1" t="s">
        <v>61</v>
      </c>
      <c r="P12" s="1"/>
    </row>
    <row r="13" spans="1:16" ht="15.75" thickBot="1" x14ac:dyDescent="0.3">
      <c r="A13" s="1" t="s">
        <v>48</v>
      </c>
      <c r="B13" s="1"/>
      <c r="C13" s="1"/>
      <c r="D13" s="1"/>
      <c r="E13" s="40" t="e">
        <f>F13/D13</f>
        <v>#DIV/0!</v>
      </c>
      <c r="F13" s="3"/>
      <c r="G13" s="3"/>
      <c r="H13" s="15"/>
      <c r="J13" s="31" t="s">
        <v>16</v>
      </c>
      <c r="K13" s="32">
        <f>SUM(K5:K12)</f>
        <v>0</v>
      </c>
      <c r="L13" s="32">
        <f>SUM(L5:L12)</f>
        <v>0</v>
      </c>
      <c r="M13" s="33"/>
      <c r="O13" s="1" t="s">
        <v>53</v>
      </c>
      <c r="P13" s="1"/>
    </row>
    <row r="14" spans="1:16" x14ac:dyDescent="0.25">
      <c r="A14" s="1" t="s">
        <v>3</v>
      </c>
      <c r="B14" s="1"/>
      <c r="C14" s="1"/>
      <c r="D14" s="1"/>
      <c r="E14" s="40" t="e">
        <f>F14/D14</f>
        <v>#DIV/0!</v>
      </c>
      <c r="F14" s="3"/>
      <c r="G14" s="3"/>
      <c r="H14" s="15"/>
      <c r="J14" s="7"/>
      <c r="K14" s="7"/>
      <c r="L14" s="7"/>
      <c r="M14" s="42"/>
    </row>
    <row r="15" spans="1:16" x14ac:dyDescent="0.25">
      <c r="A15" s="22" t="s">
        <v>29</v>
      </c>
      <c r="B15" s="22">
        <f>SUM(B12:B14)</f>
        <v>0</v>
      </c>
      <c r="C15" s="22">
        <f>SUM(C12:C14)</f>
        <v>0</v>
      </c>
      <c r="D15" s="22">
        <f>B15+C15</f>
        <v>0</v>
      </c>
      <c r="E15" s="41" t="e">
        <f>F15/D15</f>
        <v>#DIV/0!</v>
      </c>
      <c r="F15" s="25">
        <f>SUM(F12:F14)</f>
        <v>0</v>
      </c>
      <c r="G15" s="25">
        <f>SUM(G12:G14)</f>
        <v>0</v>
      </c>
      <c r="H15" s="26"/>
      <c r="J15" s="7"/>
      <c r="K15" s="7"/>
      <c r="L15" s="7"/>
      <c r="M15" s="42"/>
    </row>
    <row r="16" spans="1:16" x14ac:dyDescent="0.25">
      <c r="A16" s="2"/>
      <c r="B16" s="10"/>
      <c r="C16" s="10"/>
      <c r="D16" s="10"/>
      <c r="E16" s="27"/>
      <c r="F16" s="3"/>
      <c r="G16" s="3"/>
      <c r="H16" s="15"/>
      <c r="J16" s="1" t="s">
        <v>56</v>
      </c>
      <c r="K16" s="3"/>
      <c r="L16" s="1"/>
      <c r="M16" s="42"/>
    </row>
    <row r="17" spans="1:16" x14ac:dyDescent="0.25">
      <c r="A17" s="2" t="s">
        <v>54</v>
      </c>
      <c r="B17" s="36"/>
      <c r="C17" s="37"/>
      <c r="D17" s="37"/>
      <c r="E17" s="4"/>
      <c r="F17" s="3"/>
      <c r="G17" s="3"/>
      <c r="H17" s="15"/>
      <c r="J17" s="1" t="s">
        <v>15</v>
      </c>
      <c r="K17" s="3"/>
      <c r="L17" s="1"/>
      <c r="M17" s="42"/>
    </row>
    <row r="18" spans="1:16" x14ac:dyDescent="0.25">
      <c r="A18" s="1" t="s">
        <v>7</v>
      </c>
      <c r="B18" s="39"/>
      <c r="C18" s="39"/>
      <c r="D18" s="36">
        <f t="shared" ref="D18:D21" si="0">SUM(D15:D17)</f>
        <v>0</v>
      </c>
      <c r="E18" s="1" t="e">
        <f>F18/D18</f>
        <v>#DIV/0!</v>
      </c>
      <c r="F18" s="3"/>
      <c r="G18" s="3"/>
      <c r="H18" s="15"/>
      <c r="J18" s="1" t="s">
        <v>31</v>
      </c>
      <c r="K18" s="3"/>
      <c r="L18" s="1"/>
      <c r="M18" s="42"/>
    </row>
    <row r="19" spans="1:16" x14ac:dyDescent="0.25">
      <c r="A19" s="1" t="s">
        <v>10</v>
      </c>
      <c r="B19" s="39"/>
      <c r="C19" s="39"/>
      <c r="D19" s="36">
        <f t="shared" si="0"/>
        <v>0</v>
      </c>
      <c r="E19" s="1" t="e">
        <f>F19/D19</f>
        <v>#DIV/0!</v>
      </c>
      <c r="F19" s="3"/>
      <c r="G19" s="3"/>
      <c r="H19" s="15"/>
      <c r="J19" s="1" t="s">
        <v>32</v>
      </c>
      <c r="K19" s="3"/>
      <c r="L19" s="1"/>
    </row>
    <row r="20" spans="1:16" x14ac:dyDescent="0.25">
      <c r="A20" s="1" t="s">
        <v>11</v>
      </c>
      <c r="B20" s="39"/>
      <c r="C20" s="39"/>
      <c r="D20" s="36">
        <f t="shared" si="0"/>
        <v>0</v>
      </c>
      <c r="E20" s="1" t="e">
        <f>F20/D20</f>
        <v>#DIV/0!</v>
      </c>
      <c r="F20" s="3"/>
      <c r="G20" s="3"/>
      <c r="H20" s="15"/>
      <c r="J20" s="1" t="s">
        <v>14</v>
      </c>
      <c r="K20" s="3"/>
      <c r="L20" s="1"/>
    </row>
    <row r="21" spans="1:16" x14ac:dyDescent="0.25">
      <c r="A21" s="22" t="s">
        <v>30</v>
      </c>
      <c r="B21" s="39"/>
      <c r="C21" s="22"/>
      <c r="D21" s="22">
        <f t="shared" si="0"/>
        <v>0</v>
      </c>
      <c r="E21" s="24"/>
      <c r="F21" s="25">
        <f>SUM(F18:F20)</f>
        <v>0</v>
      </c>
      <c r="G21" s="25">
        <f>SUM(G18:G20)</f>
        <v>0</v>
      </c>
      <c r="H21" s="26"/>
      <c r="J21" s="1" t="s">
        <v>24</v>
      </c>
      <c r="K21" s="3"/>
      <c r="L21" s="1"/>
    </row>
    <row r="22" spans="1:16" x14ac:dyDescent="0.25">
      <c r="A22" s="2"/>
      <c r="B22" s="36"/>
      <c r="C22" s="36"/>
      <c r="D22" s="1"/>
      <c r="E22" s="40"/>
      <c r="F22" s="3"/>
      <c r="G22" s="3"/>
      <c r="H22" s="15"/>
      <c r="J22" s="2" t="s">
        <v>16</v>
      </c>
      <c r="K22" s="10">
        <f>SUM(K16:K21)</f>
        <v>0</v>
      </c>
      <c r="L22" s="1"/>
    </row>
    <row r="23" spans="1:16" x14ac:dyDescent="0.25">
      <c r="A23" s="2" t="s">
        <v>55</v>
      </c>
      <c r="B23" s="36"/>
      <c r="C23" s="36"/>
      <c r="D23" s="1"/>
      <c r="E23" s="40"/>
      <c r="F23" s="3"/>
      <c r="G23" s="3"/>
      <c r="H23" s="15"/>
    </row>
    <row r="24" spans="1:16" x14ac:dyDescent="0.25">
      <c r="A24" s="1" t="s">
        <v>39</v>
      </c>
      <c r="B24" s="39"/>
      <c r="C24" s="51"/>
      <c r="D24" s="38">
        <f t="shared" ref="D24:D28" si="1">SUM(D21)</f>
        <v>0</v>
      </c>
      <c r="E24" s="1" t="e">
        <f>F24/D24</f>
        <v>#DIV/0!</v>
      </c>
      <c r="F24" s="3"/>
      <c r="G24" s="3"/>
      <c r="H24" s="15"/>
    </row>
    <row r="25" spans="1:16" x14ac:dyDescent="0.25">
      <c r="A25" s="1" t="s">
        <v>9</v>
      </c>
      <c r="B25" s="39"/>
      <c r="C25" s="39"/>
      <c r="D25" s="36">
        <f t="shared" si="1"/>
        <v>0</v>
      </c>
      <c r="E25" s="1" t="e">
        <f>F25/D25</f>
        <v>#DIV/0!</v>
      </c>
      <c r="F25" s="3"/>
      <c r="G25" s="18"/>
      <c r="H25" s="15"/>
    </row>
    <row r="26" spans="1:16" x14ac:dyDescent="0.25">
      <c r="A26" s="1" t="s">
        <v>8</v>
      </c>
      <c r="B26" s="39"/>
      <c r="C26" s="39"/>
      <c r="D26" s="36">
        <f t="shared" si="1"/>
        <v>0</v>
      </c>
      <c r="E26" s="1" t="e">
        <f>F26/D26</f>
        <v>#DIV/0!</v>
      </c>
      <c r="F26" s="3"/>
      <c r="G26" s="3"/>
      <c r="H26" s="15"/>
      <c r="J26" s="34" t="s">
        <v>44</v>
      </c>
      <c r="K26" s="47" t="s">
        <v>50</v>
      </c>
      <c r="L26" s="44" t="s">
        <v>49</v>
      </c>
      <c r="M26" s="44" t="s">
        <v>59</v>
      </c>
      <c r="N26" s="45" t="s">
        <v>43</v>
      </c>
      <c r="O26" s="48" t="s">
        <v>22</v>
      </c>
      <c r="P26" s="49" t="s">
        <v>1</v>
      </c>
    </row>
    <row r="27" spans="1:16" x14ac:dyDescent="0.25">
      <c r="A27" s="1" t="s">
        <v>41</v>
      </c>
      <c r="B27" s="39"/>
      <c r="C27" s="39"/>
      <c r="D27" s="36">
        <f t="shared" si="1"/>
        <v>0</v>
      </c>
      <c r="E27" s="1" t="e">
        <f>F27/D27</f>
        <v>#DIV/0!</v>
      </c>
      <c r="F27" s="3"/>
      <c r="G27" s="3"/>
      <c r="H27" s="15"/>
      <c r="I27" s="20"/>
      <c r="J27" s="36" t="s">
        <v>42</v>
      </c>
      <c r="K27" s="36"/>
      <c r="L27" s="36"/>
      <c r="M27" s="38"/>
      <c r="N27" s="36"/>
      <c r="O27" s="35"/>
      <c r="P27" s="35"/>
    </row>
    <row r="28" spans="1:16" x14ac:dyDescent="0.25">
      <c r="A28" s="22" t="s">
        <v>30</v>
      </c>
      <c r="B28" s="22"/>
      <c r="C28" s="43"/>
      <c r="D28" s="43">
        <f t="shared" si="1"/>
        <v>0</v>
      </c>
      <c r="E28" s="24"/>
      <c r="F28" s="25">
        <f>SUM(F24:F27)</f>
        <v>0</v>
      </c>
      <c r="G28" s="25">
        <f>SUM(G24:G27)</f>
        <v>0</v>
      </c>
      <c r="H28" s="26"/>
      <c r="J28" s="36" t="s">
        <v>48</v>
      </c>
      <c r="K28" s="36">
        <v>0</v>
      </c>
      <c r="L28" s="36"/>
      <c r="M28" s="38"/>
      <c r="N28" s="36"/>
      <c r="O28" s="50"/>
      <c r="P28" s="50"/>
    </row>
    <row r="29" spans="1:16" x14ac:dyDescent="0.25">
      <c r="A29" s="2"/>
      <c r="B29" s="2"/>
      <c r="C29" s="2"/>
      <c r="D29" s="2"/>
      <c r="E29" s="27"/>
      <c r="F29" s="3"/>
      <c r="G29" s="3"/>
      <c r="H29" s="15"/>
      <c r="J29" s="36" t="s">
        <v>58</v>
      </c>
      <c r="K29" s="36"/>
      <c r="L29" s="36"/>
      <c r="M29" s="38"/>
      <c r="N29" s="36"/>
      <c r="O29" s="35"/>
      <c r="P29" s="35">
        <v>0</v>
      </c>
    </row>
    <row r="30" spans="1:16" x14ac:dyDescent="0.25">
      <c r="A30" s="22" t="s">
        <v>57</v>
      </c>
      <c r="B30" s="22"/>
      <c r="C30" s="22"/>
      <c r="D30" s="22"/>
      <c r="E30" s="23"/>
      <c r="F30" s="24"/>
      <c r="G30" s="24"/>
      <c r="H30" s="23"/>
      <c r="J30" s="22" t="s">
        <v>47</v>
      </c>
      <c r="K30" s="22">
        <f>SUM(K27:K29)</f>
        <v>0</v>
      </c>
      <c r="L30" s="22">
        <f>SUM(L27:L29)</f>
        <v>0</v>
      </c>
      <c r="M30" s="43">
        <f>SUM(M27:M28)</f>
        <v>0</v>
      </c>
      <c r="N30" s="22">
        <f>SUM(N27:N28)</f>
        <v>0</v>
      </c>
      <c r="O30" s="25">
        <f>SUM(O27:O29)</f>
        <v>0</v>
      </c>
      <c r="P30" s="25">
        <f>SUM(P27:P29)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A1DE-0063-4E76-93E8-C1DC6F357F1C}">
  <sheetPr>
    <pageSetUpPr fitToPage="1"/>
  </sheetPr>
  <dimension ref="A1:P30"/>
  <sheetViews>
    <sheetView workbookViewId="0">
      <selection activeCell="O32" sqref="O32"/>
    </sheetView>
  </sheetViews>
  <sheetFormatPr defaultRowHeight="15" x14ac:dyDescent="0.25"/>
  <cols>
    <col min="1" max="1" width="31.85546875" customWidth="1"/>
    <col min="2" max="2" width="10.28515625" customWidth="1"/>
    <col min="3" max="4" width="10.140625" customWidth="1"/>
    <col min="5" max="5" width="10" customWidth="1"/>
    <col min="6" max="6" width="15.5703125" style="11" customWidth="1"/>
    <col min="7" max="7" width="13.140625" style="11" customWidth="1"/>
    <col min="8" max="8" width="7.7109375" customWidth="1"/>
    <col min="9" max="9" width="4" customWidth="1"/>
    <col min="10" max="10" width="28.5703125" customWidth="1"/>
    <col min="11" max="11" width="13.28515625" customWidth="1"/>
    <col min="12" max="12" width="11.140625" customWidth="1"/>
    <col min="13" max="14" width="8.5703125" customWidth="1"/>
    <col min="15" max="15" width="17.28515625" customWidth="1"/>
    <col min="16" max="16" width="11.5703125" customWidth="1"/>
  </cols>
  <sheetData>
    <row r="1" spans="1:16" ht="27" customHeight="1" x14ac:dyDescent="0.35">
      <c r="A1" s="14" t="s">
        <v>0</v>
      </c>
      <c r="B1" s="46" t="s">
        <v>62</v>
      </c>
      <c r="C1" s="13"/>
      <c r="D1" s="13"/>
      <c r="E1" s="13"/>
      <c r="H1" s="8"/>
    </row>
    <row r="2" spans="1:16" ht="12.75" customHeight="1" x14ac:dyDescent="0.4">
      <c r="A2" s="12"/>
    </row>
    <row r="3" spans="1:16" ht="15.75" x14ac:dyDescent="0.25">
      <c r="A3" s="5" t="s">
        <v>17</v>
      </c>
      <c r="B3" s="19" t="s">
        <v>13</v>
      </c>
      <c r="C3" s="19" t="s">
        <v>21</v>
      </c>
      <c r="D3" s="19" t="s">
        <v>46</v>
      </c>
      <c r="E3" s="19" t="s">
        <v>26</v>
      </c>
      <c r="F3" s="9" t="s">
        <v>22</v>
      </c>
      <c r="G3" s="9" t="s">
        <v>1</v>
      </c>
      <c r="H3" s="16"/>
      <c r="I3" s="6"/>
      <c r="J3" s="5" t="s">
        <v>12</v>
      </c>
      <c r="K3" s="5" t="s">
        <v>18</v>
      </c>
      <c r="L3" s="2" t="s">
        <v>33</v>
      </c>
      <c r="M3" s="28" t="s">
        <v>20</v>
      </c>
      <c r="O3" s="2" t="s">
        <v>40</v>
      </c>
      <c r="P3" s="2" t="s">
        <v>16</v>
      </c>
    </row>
    <row r="4" spans="1:16" ht="15.75" x14ac:dyDescent="0.25">
      <c r="A4" s="5"/>
      <c r="B4" s="5"/>
      <c r="C4" s="5"/>
      <c r="D4" s="5"/>
      <c r="E4" s="19"/>
      <c r="F4" s="9"/>
      <c r="G4" s="9"/>
      <c r="H4" s="16"/>
      <c r="I4" s="6"/>
      <c r="J4" s="5"/>
      <c r="K4" s="21"/>
      <c r="L4" s="1"/>
      <c r="M4" s="1"/>
      <c r="O4" s="1" t="s">
        <v>63</v>
      </c>
      <c r="P4" s="1">
        <v>0</v>
      </c>
    </row>
    <row r="5" spans="1:16" ht="15" customHeight="1" x14ac:dyDescent="0.25">
      <c r="A5" s="2" t="s">
        <v>25</v>
      </c>
      <c r="B5" s="1"/>
      <c r="C5" s="1"/>
      <c r="D5" s="1"/>
      <c r="E5" s="1"/>
      <c r="F5" s="10"/>
      <c r="G5" s="10"/>
      <c r="H5" s="17"/>
      <c r="I5" s="7"/>
      <c r="J5" s="1" t="s">
        <v>23</v>
      </c>
      <c r="K5" s="1">
        <v>78</v>
      </c>
      <c r="L5" s="1">
        <v>72</v>
      </c>
      <c r="M5" s="4"/>
      <c r="O5" s="1" t="s">
        <v>35</v>
      </c>
      <c r="P5" s="1">
        <v>0</v>
      </c>
    </row>
    <row r="6" spans="1:16" x14ac:dyDescent="0.25">
      <c r="A6" s="1" t="s">
        <v>4</v>
      </c>
      <c r="B6" s="1">
        <v>43</v>
      </c>
      <c r="C6" s="1">
        <v>949</v>
      </c>
      <c r="D6" s="1">
        <f>B6+C6</f>
        <v>992</v>
      </c>
      <c r="E6" s="40">
        <f>F6/D6</f>
        <v>199.64314516129033</v>
      </c>
      <c r="F6" s="3">
        <v>198046</v>
      </c>
      <c r="G6" s="3">
        <v>107959.94</v>
      </c>
      <c r="H6" s="15"/>
      <c r="J6" s="1" t="s">
        <v>14</v>
      </c>
      <c r="K6" s="1">
        <v>16</v>
      </c>
      <c r="L6" s="1">
        <v>15</v>
      </c>
      <c r="M6" s="4"/>
      <c r="O6" s="1" t="s">
        <v>36</v>
      </c>
      <c r="P6" s="1">
        <v>1</v>
      </c>
    </row>
    <row r="7" spans="1:16" x14ac:dyDescent="0.25">
      <c r="A7" s="1" t="s">
        <v>5</v>
      </c>
      <c r="B7" s="1">
        <v>41</v>
      </c>
      <c r="C7" s="1">
        <v>485</v>
      </c>
      <c r="D7" s="1">
        <f>B7+C7</f>
        <v>526</v>
      </c>
      <c r="E7" s="40">
        <f>F7/D7</f>
        <v>221.00570342205324</v>
      </c>
      <c r="F7" s="3">
        <v>116249</v>
      </c>
      <c r="G7" s="3">
        <v>68739.460000000006</v>
      </c>
      <c r="H7" s="15"/>
      <c r="J7" s="1" t="s">
        <v>19</v>
      </c>
      <c r="K7" s="1">
        <v>15</v>
      </c>
      <c r="L7" s="1">
        <v>10</v>
      </c>
      <c r="M7" s="4"/>
      <c r="O7" s="1" t="s">
        <v>45</v>
      </c>
      <c r="P7" s="1">
        <v>2</v>
      </c>
    </row>
    <row r="8" spans="1:16" x14ac:dyDescent="0.25">
      <c r="A8" s="1" t="s">
        <v>6</v>
      </c>
      <c r="B8" s="1">
        <v>37</v>
      </c>
      <c r="C8" s="1">
        <v>424</v>
      </c>
      <c r="D8" s="1">
        <f>B8+C8</f>
        <v>461</v>
      </c>
      <c r="E8" s="40">
        <f>F8/D8</f>
        <v>209.1344902386117</v>
      </c>
      <c r="F8" s="3">
        <v>96411</v>
      </c>
      <c r="G8" s="3">
        <v>59158.9</v>
      </c>
      <c r="H8" s="15"/>
      <c r="J8" s="1" t="s">
        <v>51</v>
      </c>
      <c r="K8" s="1">
        <v>0</v>
      </c>
      <c r="L8" s="1">
        <v>0</v>
      </c>
      <c r="M8" s="4"/>
      <c r="O8" s="1" t="s">
        <v>37</v>
      </c>
      <c r="P8" s="1">
        <v>2</v>
      </c>
    </row>
    <row r="9" spans="1:16" x14ac:dyDescent="0.25">
      <c r="A9" s="22" t="s">
        <v>28</v>
      </c>
      <c r="B9" s="22">
        <f>SUM(B6:B8)</f>
        <v>121</v>
      </c>
      <c r="C9" s="22">
        <f>SUM(C6:C8)</f>
        <v>1858</v>
      </c>
      <c r="D9" s="22">
        <f>B9+C9</f>
        <v>1979</v>
      </c>
      <c r="E9" s="41">
        <f>F9/D9</f>
        <v>207.53208691258212</v>
      </c>
      <c r="F9" s="25">
        <f>SUM(F6:F8)</f>
        <v>410706</v>
      </c>
      <c r="G9" s="25">
        <f>SUM(G6:G8)</f>
        <v>235858.30000000002</v>
      </c>
      <c r="H9" s="26"/>
      <c r="J9" s="1" t="s">
        <v>15</v>
      </c>
      <c r="K9" s="1">
        <v>40</v>
      </c>
      <c r="L9" s="1">
        <v>40</v>
      </c>
      <c r="M9" s="4"/>
      <c r="O9" s="1" t="s">
        <v>38</v>
      </c>
      <c r="P9" s="1">
        <v>2</v>
      </c>
    </row>
    <row r="10" spans="1:16" x14ac:dyDescent="0.25">
      <c r="A10" s="2"/>
      <c r="B10" s="10"/>
      <c r="C10" s="10"/>
      <c r="D10" s="10"/>
      <c r="E10" s="27"/>
      <c r="F10" s="3"/>
      <c r="G10" s="3"/>
      <c r="H10" s="15"/>
      <c r="J10" s="1" t="s">
        <v>34</v>
      </c>
      <c r="K10" s="1">
        <v>37</v>
      </c>
      <c r="L10" s="1">
        <v>31</v>
      </c>
      <c r="M10" s="4"/>
      <c r="O10" s="1" t="s">
        <v>52</v>
      </c>
      <c r="P10" s="1">
        <v>1</v>
      </c>
    </row>
    <row r="11" spans="1:16" x14ac:dyDescent="0.25">
      <c r="A11" s="2" t="s">
        <v>27</v>
      </c>
      <c r="B11" s="1"/>
      <c r="C11" s="1"/>
      <c r="D11" s="1"/>
      <c r="E11" s="4"/>
      <c r="F11" s="10"/>
      <c r="G11" s="10"/>
      <c r="H11" s="17"/>
      <c r="J11" s="29"/>
      <c r="K11" s="29"/>
      <c r="L11" s="29"/>
      <c r="M11" s="30"/>
      <c r="O11" s="1" t="s">
        <v>60</v>
      </c>
      <c r="P11" s="1">
        <v>10</v>
      </c>
    </row>
    <row r="12" spans="1:16" ht="15.75" thickBot="1" x14ac:dyDescent="0.3">
      <c r="A12" s="1" t="s">
        <v>2</v>
      </c>
      <c r="B12" s="1">
        <v>3</v>
      </c>
      <c r="C12" s="1">
        <v>72</v>
      </c>
      <c r="D12" s="1">
        <f>B12+C12</f>
        <v>75</v>
      </c>
      <c r="E12" s="40">
        <f>F12/D12</f>
        <v>169.2</v>
      </c>
      <c r="F12" s="3">
        <v>12690</v>
      </c>
      <c r="G12" s="18">
        <v>15872.53</v>
      </c>
      <c r="H12" s="15"/>
      <c r="I12" s="7"/>
      <c r="J12" s="29"/>
      <c r="K12" s="29"/>
      <c r="L12" s="29"/>
      <c r="M12" s="30"/>
      <c r="O12" s="1" t="s">
        <v>61</v>
      </c>
      <c r="P12" s="1">
        <v>2</v>
      </c>
    </row>
    <row r="13" spans="1:16" ht="15.75" thickBot="1" x14ac:dyDescent="0.3">
      <c r="A13" s="1" t="s">
        <v>48</v>
      </c>
      <c r="B13" s="1">
        <v>15</v>
      </c>
      <c r="C13" s="1">
        <v>65</v>
      </c>
      <c r="D13" s="1">
        <f>B13+C13</f>
        <v>80</v>
      </c>
      <c r="E13" s="40">
        <f>F13/D13</f>
        <v>545.125</v>
      </c>
      <c r="F13" s="3">
        <v>43610</v>
      </c>
      <c r="G13" s="3">
        <v>26361.87</v>
      </c>
      <c r="H13" s="15"/>
      <c r="J13" s="31" t="s">
        <v>16</v>
      </c>
      <c r="K13" s="32">
        <f>SUM(K5:K12)</f>
        <v>186</v>
      </c>
      <c r="L13" s="32">
        <f>SUM(L5:L12)</f>
        <v>168</v>
      </c>
      <c r="M13" s="33"/>
      <c r="O13" s="1" t="s">
        <v>53</v>
      </c>
      <c r="P13" s="1">
        <v>0</v>
      </c>
    </row>
    <row r="14" spans="1:16" x14ac:dyDescent="0.25">
      <c r="A14" s="1" t="s">
        <v>3</v>
      </c>
      <c r="B14" s="1">
        <v>5</v>
      </c>
      <c r="C14" s="1">
        <v>34</v>
      </c>
      <c r="D14" s="1">
        <f>B14+C14</f>
        <v>39</v>
      </c>
      <c r="E14" s="40">
        <f>F14/D14</f>
        <v>117</v>
      </c>
      <c r="F14" s="3">
        <v>4563</v>
      </c>
      <c r="G14" s="3">
        <v>14047.37</v>
      </c>
      <c r="H14" s="15"/>
      <c r="J14" s="7"/>
      <c r="K14" s="7"/>
      <c r="L14" s="7"/>
      <c r="M14" s="42"/>
    </row>
    <row r="15" spans="1:16" x14ac:dyDescent="0.25">
      <c r="A15" s="22" t="s">
        <v>29</v>
      </c>
      <c r="B15" s="22">
        <f>SUM(B12:B14)</f>
        <v>23</v>
      </c>
      <c r="C15" s="22">
        <f>SUM(C12:C14)</f>
        <v>171</v>
      </c>
      <c r="D15" s="22">
        <f>B15+C15</f>
        <v>194</v>
      </c>
      <c r="E15" s="41">
        <f>F15/D15</f>
        <v>313.72680412371136</v>
      </c>
      <c r="F15" s="25">
        <f>SUM(F12:F14)</f>
        <v>60863</v>
      </c>
      <c r="G15" s="25">
        <f>SUM(G12:G14)</f>
        <v>56281.770000000004</v>
      </c>
      <c r="H15" s="26"/>
      <c r="J15" s="7"/>
      <c r="K15" s="7"/>
      <c r="L15" s="7"/>
      <c r="M15" s="42"/>
    </row>
    <row r="16" spans="1:16" x14ac:dyDescent="0.25">
      <c r="A16" s="2"/>
      <c r="B16" s="10"/>
      <c r="C16" s="10"/>
      <c r="D16" s="10"/>
      <c r="E16" s="27"/>
      <c r="F16" s="3"/>
      <c r="G16" s="3"/>
      <c r="H16" s="15"/>
      <c r="J16" s="1" t="s">
        <v>56</v>
      </c>
      <c r="K16" s="3"/>
      <c r="L16" s="1"/>
      <c r="M16" s="42"/>
    </row>
    <row r="17" spans="1:16" x14ac:dyDescent="0.25">
      <c r="A17" s="2" t="s">
        <v>54</v>
      </c>
      <c r="B17" s="36"/>
      <c r="C17" s="37"/>
      <c r="D17" s="37"/>
      <c r="E17" s="4"/>
      <c r="F17" s="3"/>
      <c r="G17" s="3"/>
      <c r="H17" s="15"/>
      <c r="J17" s="1" t="s">
        <v>15</v>
      </c>
      <c r="K17" s="3"/>
      <c r="L17" s="1"/>
      <c r="M17" s="42"/>
    </row>
    <row r="18" spans="1:16" x14ac:dyDescent="0.25">
      <c r="A18" s="1" t="s">
        <v>7</v>
      </c>
      <c r="B18" s="39"/>
      <c r="C18" s="39"/>
      <c r="D18" s="36">
        <v>73</v>
      </c>
      <c r="E18" s="40">
        <f>F18/D18</f>
        <v>238.63013698630138</v>
      </c>
      <c r="F18" s="3">
        <v>17420</v>
      </c>
      <c r="G18" s="3">
        <v>8597</v>
      </c>
      <c r="H18" s="15"/>
      <c r="J18" s="1" t="s">
        <v>31</v>
      </c>
      <c r="K18" s="3"/>
      <c r="L18" s="1"/>
      <c r="M18" s="42"/>
    </row>
    <row r="19" spans="1:16" x14ac:dyDescent="0.25">
      <c r="A19" s="1" t="s">
        <v>10</v>
      </c>
      <c r="B19" s="39"/>
      <c r="C19" s="39"/>
      <c r="D19" s="36">
        <v>93</v>
      </c>
      <c r="E19" s="40">
        <f>F19/D19</f>
        <v>246.72043010752688</v>
      </c>
      <c r="F19" s="3">
        <v>22945</v>
      </c>
      <c r="G19" s="3">
        <v>10646.47</v>
      </c>
      <c r="H19" s="15"/>
      <c r="J19" s="1" t="s">
        <v>32</v>
      </c>
      <c r="K19" s="3"/>
      <c r="L19" s="1"/>
    </row>
    <row r="20" spans="1:16" x14ac:dyDescent="0.25">
      <c r="A20" s="1" t="s">
        <v>11</v>
      </c>
      <c r="B20" s="39"/>
      <c r="C20" s="39"/>
      <c r="D20" s="36">
        <v>69</v>
      </c>
      <c r="E20" s="40">
        <f>F20/D20</f>
        <v>233.62318840579709</v>
      </c>
      <c r="F20" s="3">
        <v>16120</v>
      </c>
      <c r="G20" s="3">
        <v>12600.93</v>
      </c>
      <c r="H20" s="15"/>
      <c r="J20" s="1" t="s">
        <v>14</v>
      </c>
      <c r="K20" s="3"/>
      <c r="L20" s="1"/>
    </row>
    <row r="21" spans="1:16" x14ac:dyDescent="0.25">
      <c r="A21" s="22" t="s">
        <v>30</v>
      </c>
      <c r="B21" s="39"/>
      <c r="C21" s="22"/>
      <c r="D21" s="22"/>
      <c r="E21" s="24"/>
      <c r="F21" s="25">
        <f>SUM(F18:F20)</f>
        <v>56485</v>
      </c>
      <c r="G21" s="25">
        <f>SUM(G18:G20)</f>
        <v>31844.400000000001</v>
      </c>
      <c r="H21" s="26"/>
      <c r="J21" s="1" t="s">
        <v>24</v>
      </c>
      <c r="K21" s="3"/>
      <c r="L21" s="1"/>
    </row>
    <row r="22" spans="1:16" x14ac:dyDescent="0.25">
      <c r="A22" s="2"/>
      <c r="B22" s="36"/>
      <c r="C22" s="36"/>
      <c r="D22" s="1"/>
      <c r="E22" s="40"/>
      <c r="F22" s="3"/>
      <c r="G22" s="3"/>
      <c r="H22" s="15"/>
      <c r="J22" s="2" t="s">
        <v>16</v>
      </c>
      <c r="K22" s="10">
        <f>SUM(K16:K21)</f>
        <v>0</v>
      </c>
      <c r="L22" s="1"/>
    </row>
    <row r="23" spans="1:16" x14ac:dyDescent="0.25">
      <c r="A23" s="2" t="s">
        <v>55</v>
      </c>
      <c r="B23" s="36"/>
      <c r="C23" s="36"/>
      <c r="D23" s="1"/>
      <c r="E23" s="40"/>
      <c r="F23" s="3"/>
      <c r="G23" s="3"/>
      <c r="H23" s="15"/>
    </row>
    <row r="24" spans="1:16" x14ac:dyDescent="0.25">
      <c r="A24" s="1" t="s">
        <v>39</v>
      </c>
      <c r="B24" s="39"/>
      <c r="C24" s="51"/>
      <c r="D24" s="38">
        <v>67</v>
      </c>
      <c r="E24" s="40">
        <f>F24/D24</f>
        <v>302.68656716417911</v>
      </c>
      <c r="F24" s="3">
        <v>20280</v>
      </c>
      <c r="G24" s="3">
        <v>10834.19</v>
      </c>
      <c r="H24" s="15"/>
    </row>
    <row r="25" spans="1:16" x14ac:dyDescent="0.25">
      <c r="A25" s="1" t="s">
        <v>9</v>
      </c>
      <c r="B25" s="39"/>
      <c r="C25" s="39"/>
      <c r="D25" s="36">
        <v>66</v>
      </c>
      <c r="E25" s="40">
        <f>F25/D25</f>
        <v>192.27272727272728</v>
      </c>
      <c r="F25" s="3">
        <v>12690</v>
      </c>
      <c r="G25" s="18">
        <v>15872.53</v>
      </c>
      <c r="H25" s="15"/>
    </row>
    <row r="26" spans="1:16" x14ac:dyDescent="0.25">
      <c r="A26" s="1" t="s">
        <v>8</v>
      </c>
      <c r="B26" s="39"/>
      <c r="C26" s="39"/>
      <c r="D26" s="36">
        <v>23</v>
      </c>
      <c r="E26" s="40">
        <f>F26/D26</f>
        <v>237.39130434782609</v>
      </c>
      <c r="F26" s="3">
        <v>5460</v>
      </c>
      <c r="G26" s="3">
        <v>6467.92</v>
      </c>
      <c r="H26" s="15"/>
      <c r="J26" s="34" t="s">
        <v>44</v>
      </c>
      <c r="K26" s="47" t="s">
        <v>50</v>
      </c>
      <c r="L26" s="44" t="s">
        <v>49</v>
      </c>
      <c r="M26" s="44" t="s">
        <v>59</v>
      </c>
      <c r="N26" s="45" t="s">
        <v>43</v>
      </c>
      <c r="O26" s="48" t="s">
        <v>22</v>
      </c>
      <c r="P26" s="49" t="s">
        <v>1</v>
      </c>
    </row>
    <row r="27" spans="1:16" x14ac:dyDescent="0.25">
      <c r="A27" s="1" t="s">
        <v>41</v>
      </c>
      <c r="B27" s="39"/>
      <c r="C27" s="39"/>
      <c r="D27" s="36">
        <v>82</v>
      </c>
      <c r="E27" s="40">
        <f>F27/D27</f>
        <v>237.80487804878049</v>
      </c>
      <c r="F27" s="3">
        <v>19500</v>
      </c>
      <c r="G27" s="3">
        <v>8714.39</v>
      </c>
      <c r="H27" s="15"/>
      <c r="I27" s="20"/>
      <c r="J27" s="36" t="s">
        <v>42</v>
      </c>
      <c r="K27" s="36">
        <v>12</v>
      </c>
      <c r="L27" s="36">
        <v>0</v>
      </c>
      <c r="M27" s="38">
        <v>0</v>
      </c>
      <c r="N27" s="36">
        <v>2</v>
      </c>
      <c r="O27" s="35">
        <v>43855</v>
      </c>
      <c r="P27" s="35">
        <v>21168.76</v>
      </c>
    </row>
    <row r="28" spans="1:16" x14ac:dyDescent="0.25">
      <c r="A28" s="22" t="s">
        <v>30</v>
      </c>
      <c r="B28" s="22"/>
      <c r="C28" s="43"/>
      <c r="D28" s="43"/>
      <c r="E28" s="24"/>
      <c r="F28" s="25">
        <f>SUM(F24:F27)</f>
        <v>57930</v>
      </c>
      <c r="G28" s="25">
        <f>SUM(G24:G27)</f>
        <v>41889.03</v>
      </c>
      <c r="H28" s="26"/>
      <c r="J28" s="36" t="s">
        <v>48</v>
      </c>
      <c r="K28" s="36">
        <v>0</v>
      </c>
      <c r="L28" s="36">
        <v>11</v>
      </c>
      <c r="M28" s="38">
        <v>14</v>
      </c>
      <c r="N28" s="36">
        <v>16</v>
      </c>
      <c r="O28" s="52">
        <v>1940</v>
      </c>
      <c r="P28" s="52">
        <v>1424.17</v>
      </c>
    </row>
    <row r="29" spans="1:16" x14ac:dyDescent="0.25">
      <c r="A29" s="2"/>
      <c r="B29" s="2"/>
      <c r="C29" s="2"/>
      <c r="D29" s="2"/>
      <c r="E29" s="27"/>
      <c r="F29" s="3"/>
      <c r="G29" s="3"/>
      <c r="H29" s="15"/>
      <c r="J29" s="36" t="s">
        <v>58</v>
      </c>
      <c r="K29" s="36"/>
      <c r="L29" s="36"/>
      <c r="M29" s="38"/>
      <c r="N29" s="36"/>
      <c r="O29" s="35">
        <v>21589</v>
      </c>
      <c r="P29" s="35">
        <v>0</v>
      </c>
    </row>
    <row r="30" spans="1:16" x14ac:dyDescent="0.25">
      <c r="A30" s="22" t="s">
        <v>57</v>
      </c>
      <c r="B30" s="22"/>
      <c r="C30" s="22"/>
      <c r="D30" s="22"/>
      <c r="E30" s="23"/>
      <c r="F30" s="24"/>
      <c r="G30" s="24"/>
      <c r="H30" s="23"/>
      <c r="J30" s="22" t="s">
        <v>47</v>
      </c>
      <c r="K30" s="22">
        <f>SUM(K27:K28)</f>
        <v>12</v>
      </c>
      <c r="L30" s="22">
        <f>SUM(L27:L28)</f>
        <v>11</v>
      </c>
      <c r="M30" s="43">
        <f>SUM(M27:M28)</f>
        <v>14</v>
      </c>
      <c r="N30" s="22">
        <f>SUM(N27:N28)</f>
        <v>18</v>
      </c>
      <c r="O30" s="25">
        <f>SUM(O27:O29)</f>
        <v>67384</v>
      </c>
      <c r="P30" s="25">
        <f>SUM(P27:P29)</f>
        <v>22592.93</v>
      </c>
    </row>
  </sheetData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4E39-C942-4628-BD50-4CE06ECDB110}">
  <dimension ref="A1:O30"/>
  <sheetViews>
    <sheetView workbookViewId="0">
      <selection activeCell="R22" sqref="R22"/>
    </sheetView>
  </sheetViews>
  <sheetFormatPr defaultRowHeight="15" x14ac:dyDescent="0.25"/>
  <cols>
    <col min="1" max="1" width="31.5703125" customWidth="1"/>
    <col min="2" max="2" width="9.5703125" customWidth="1"/>
    <col min="3" max="3" width="9" customWidth="1"/>
    <col min="5" max="5" width="11" customWidth="1"/>
    <col min="6" max="7" width="12.42578125" customWidth="1"/>
    <col min="8" max="8" width="10" customWidth="1"/>
    <col min="9" max="9" width="22.85546875" customWidth="1"/>
    <col min="14" max="14" width="15" customWidth="1"/>
    <col min="15" max="15" width="10.5703125" customWidth="1"/>
  </cols>
  <sheetData>
    <row r="1" spans="1:15" ht="21" x14ac:dyDescent="0.35">
      <c r="A1" s="14" t="s">
        <v>0</v>
      </c>
      <c r="B1" s="46" t="s">
        <v>64</v>
      </c>
      <c r="C1" s="13"/>
      <c r="D1" s="13"/>
      <c r="E1" s="13"/>
      <c r="F1" s="11"/>
      <c r="G1" s="11"/>
    </row>
    <row r="2" spans="1:15" ht="24" x14ac:dyDescent="0.4">
      <c r="A2" s="12"/>
      <c r="F2" s="11"/>
      <c r="G2" s="11"/>
    </row>
    <row r="3" spans="1:15" ht="15.75" x14ac:dyDescent="0.25">
      <c r="A3" s="5" t="s">
        <v>17</v>
      </c>
      <c r="B3" s="19" t="s">
        <v>13</v>
      </c>
      <c r="C3" s="19" t="s">
        <v>21</v>
      </c>
      <c r="D3" s="19" t="s">
        <v>46</v>
      </c>
      <c r="E3" s="19" t="s">
        <v>26</v>
      </c>
      <c r="F3" s="9" t="s">
        <v>22</v>
      </c>
      <c r="G3" s="9" t="s">
        <v>1</v>
      </c>
      <c r="H3" s="6"/>
      <c r="I3" s="5" t="s">
        <v>12</v>
      </c>
      <c r="J3" s="5" t="s">
        <v>18</v>
      </c>
      <c r="K3" s="2" t="s">
        <v>33</v>
      </c>
      <c r="L3" s="28" t="s">
        <v>20</v>
      </c>
      <c r="N3" s="2" t="s">
        <v>40</v>
      </c>
      <c r="O3" s="2" t="s">
        <v>16</v>
      </c>
    </row>
    <row r="4" spans="1:15" ht="15.75" x14ac:dyDescent="0.25">
      <c r="A4" s="5"/>
      <c r="B4" s="5"/>
      <c r="C4" s="5"/>
      <c r="D4" s="5"/>
      <c r="E4" s="19"/>
      <c r="F4" s="9"/>
      <c r="G4" s="9"/>
      <c r="H4" s="6"/>
      <c r="I4" s="5"/>
      <c r="J4" s="21"/>
      <c r="K4" s="1"/>
      <c r="L4" s="1"/>
      <c r="N4" s="1" t="s">
        <v>63</v>
      </c>
      <c r="O4" s="1">
        <v>0</v>
      </c>
    </row>
    <row r="5" spans="1:15" x14ac:dyDescent="0.25">
      <c r="A5" s="2" t="s">
        <v>25</v>
      </c>
      <c r="B5" s="1"/>
      <c r="C5" s="1"/>
      <c r="D5" s="1"/>
      <c r="E5" s="1"/>
      <c r="F5" s="10"/>
      <c r="G5" s="10"/>
      <c r="H5" s="7"/>
      <c r="I5" s="1" t="s">
        <v>23</v>
      </c>
      <c r="J5" s="1">
        <v>71</v>
      </c>
      <c r="K5" s="1">
        <v>65</v>
      </c>
      <c r="L5" s="4"/>
      <c r="N5" s="1" t="s">
        <v>35</v>
      </c>
      <c r="O5" s="1">
        <v>5</v>
      </c>
    </row>
    <row r="6" spans="1:15" x14ac:dyDescent="0.25">
      <c r="A6" s="1" t="s">
        <v>4</v>
      </c>
      <c r="B6" s="1">
        <v>39</v>
      </c>
      <c r="C6" s="1">
        <v>1143</v>
      </c>
      <c r="D6" s="1">
        <f>B6+C6</f>
        <v>1182</v>
      </c>
      <c r="E6" s="40">
        <f>F6/D6</f>
        <v>175.46108291032149</v>
      </c>
      <c r="F6" s="3">
        <v>207395</v>
      </c>
      <c r="G6" s="3">
        <v>153309.01</v>
      </c>
      <c r="I6" s="1" t="s">
        <v>14</v>
      </c>
      <c r="J6" s="1">
        <v>31</v>
      </c>
      <c r="K6" s="1">
        <v>27</v>
      </c>
      <c r="L6" s="4"/>
      <c r="N6" s="1" t="s">
        <v>67</v>
      </c>
      <c r="O6" s="1">
        <v>1</v>
      </c>
    </row>
    <row r="7" spans="1:15" x14ac:dyDescent="0.25">
      <c r="A7" s="1" t="s">
        <v>5</v>
      </c>
      <c r="B7" s="1">
        <v>39</v>
      </c>
      <c r="C7" s="1">
        <v>452</v>
      </c>
      <c r="D7" s="1">
        <f>B7+C7</f>
        <v>491</v>
      </c>
      <c r="E7" s="40">
        <f>F7/D7</f>
        <v>232.39307535641547</v>
      </c>
      <c r="F7" s="3">
        <v>114105</v>
      </c>
      <c r="G7" s="3">
        <v>76935.97</v>
      </c>
      <c r="I7" s="1" t="s">
        <v>19</v>
      </c>
      <c r="J7" s="1">
        <v>14</v>
      </c>
      <c r="K7" s="1">
        <v>9</v>
      </c>
      <c r="L7" s="4"/>
      <c r="N7" s="1" t="s">
        <v>68</v>
      </c>
      <c r="O7" s="1">
        <v>3</v>
      </c>
    </row>
    <row r="8" spans="1:15" x14ac:dyDescent="0.25">
      <c r="A8" s="1" t="s">
        <v>6</v>
      </c>
      <c r="B8" s="1">
        <v>31</v>
      </c>
      <c r="C8" s="1">
        <v>454</v>
      </c>
      <c r="D8" s="1">
        <f>B8+C8</f>
        <v>485</v>
      </c>
      <c r="E8" s="40">
        <f>F8/D8</f>
        <v>198.25154639175258</v>
      </c>
      <c r="F8" s="3">
        <v>96152</v>
      </c>
      <c r="G8" s="3">
        <v>48896.480000000003</v>
      </c>
      <c r="I8" s="1" t="s">
        <v>51</v>
      </c>
      <c r="J8" s="1">
        <v>0</v>
      </c>
      <c r="K8" s="1">
        <v>0</v>
      </c>
      <c r="L8" s="4"/>
      <c r="N8" s="1" t="s">
        <v>37</v>
      </c>
      <c r="O8" s="1">
        <v>2</v>
      </c>
    </row>
    <row r="9" spans="1:15" x14ac:dyDescent="0.25">
      <c r="A9" s="22" t="s">
        <v>28</v>
      </c>
      <c r="B9" s="22">
        <f>SUM(B6:B8)</f>
        <v>109</v>
      </c>
      <c r="C9" s="22">
        <f>SUM(C6:C8)</f>
        <v>2049</v>
      </c>
      <c r="D9" s="22">
        <f>B9+C9</f>
        <v>2158</v>
      </c>
      <c r="E9" s="41">
        <f>F9/D9</f>
        <v>193.53660797034291</v>
      </c>
      <c r="F9" s="25">
        <f>SUM(F6:F8)</f>
        <v>417652</v>
      </c>
      <c r="G9" s="25">
        <f>SUM(G6:G8)</f>
        <v>279141.46000000002</v>
      </c>
      <c r="I9" s="1" t="s">
        <v>15</v>
      </c>
      <c r="J9" s="1">
        <v>27</v>
      </c>
      <c r="K9" s="1">
        <v>25</v>
      </c>
      <c r="L9" s="4"/>
      <c r="N9" s="1" t="s">
        <v>66</v>
      </c>
      <c r="O9" s="1">
        <v>2</v>
      </c>
    </row>
    <row r="10" spans="1:15" x14ac:dyDescent="0.25">
      <c r="A10" s="2"/>
      <c r="B10" s="10"/>
      <c r="C10" s="10"/>
      <c r="D10" s="10"/>
      <c r="E10" s="27"/>
      <c r="F10" s="3"/>
      <c r="G10" s="3"/>
      <c r="I10" s="1" t="s">
        <v>34</v>
      </c>
      <c r="J10" s="1">
        <v>29</v>
      </c>
      <c r="K10" s="1">
        <v>29</v>
      </c>
      <c r="L10" s="4"/>
      <c r="N10" s="1" t="s">
        <v>69</v>
      </c>
      <c r="O10" s="1">
        <v>1</v>
      </c>
    </row>
    <row r="11" spans="1:15" x14ac:dyDescent="0.25">
      <c r="A11" s="2" t="s">
        <v>27</v>
      </c>
      <c r="B11" s="1"/>
      <c r="C11" s="1"/>
      <c r="D11" s="1"/>
      <c r="E11" s="4"/>
      <c r="F11" s="10"/>
      <c r="G11" s="10"/>
      <c r="I11" s="29"/>
      <c r="J11" s="29"/>
      <c r="K11" s="29"/>
      <c r="L11" s="30"/>
      <c r="N11" s="1" t="s">
        <v>60</v>
      </c>
      <c r="O11" s="1">
        <v>1</v>
      </c>
    </row>
    <row r="12" spans="1:15" ht="15.75" thickBot="1" x14ac:dyDescent="0.3">
      <c r="A12" s="1" t="s">
        <v>2</v>
      </c>
      <c r="B12" s="1">
        <v>4</v>
      </c>
      <c r="C12" s="1">
        <v>65</v>
      </c>
      <c r="D12" s="1">
        <v>69</v>
      </c>
      <c r="E12" s="40">
        <f>F12/D12</f>
        <v>185.14492753623188</v>
      </c>
      <c r="F12" s="3">
        <v>12775</v>
      </c>
      <c r="G12" s="18">
        <v>12761.66</v>
      </c>
      <c r="H12" s="7"/>
      <c r="I12" s="29"/>
      <c r="J12" s="29"/>
      <c r="K12" s="29"/>
      <c r="L12" s="30"/>
      <c r="N12" s="1" t="s">
        <v>70</v>
      </c>
      <c r="O12" s="1">
        <v>1</v>
      </c>
    </row>
    <row r="13" spans="1:15" ht="15.75" thickBot="1" x14ac:dyDescent="0.3">
      <c r="A13" s="1" t="s">
        <v>48</v>
      </c>
      <c r="B13" s="1">
        <v>24</v>
      </c>
      <c r="C13" s="1">
        <v>151</v>
      </c>
      <c r="D13" s="1">
        <f>SUM(B13:C13)</f>
        <v>175</v>
      </c>
      <c r="E13" s="40">
        <f>F13/D13</f>
        <v>279.05714285714288</v>
      </c>
      <c r="F13" s="3">
        <v>48835</v>
      </c>
      <c r="G13" s="3">
        <v>26863.57</v>
      </c>
      <c r="I13" s="31" t="s">
        <v>16</v>
      </c>
      <c r="J13" s="32">
        <f>SUM(J5:J12)</f>
        <v>172</v>
      </c>
      <c r="K13" s="32">
        <f>SUM(K5:K12)</f>
        <v>155</v>
      </c>
      <c r="L13" s="33"/>
      <c r="N13" s="1" t="s">
        <v>53</v>
      </c>
      <c r="O13" s="1">
        <v>0</v>
      </c>
    </row>
    <row r="14" spans="1:15" x14ac:dyDescent="0.25">
      <c r="A14" s="1" t="s">
        <v>3</v>
      </c>
      <c r="B14" s="1">
        <v>11</v>
      </c>
      <c r="C14" s="1">
        <v>37</v>
      </c>
      <c r="D14" s="1">
        <v>48</v>
      </c>
      <c r="E14" s="40">
        <f>F14/D14</f>
        <v>303.54166666666669</v>
      </c>
      <c r="F14" s="3">
        <v>14570</v>
      </c>
      <c r="G14" s="3">
        <v>7130.3</v>
      </c>
      <c r="I14" s="7"/>
      <c r="J14" s="7"/>
      <c r="K14" s="7"/>
      <c r="L14" s="42"/>
    </row>
    <row r="15" spans="1:15" x14ac:dyDescent="0.25">
      <c r="A15" s="22" t="s">
        <v>29</v>
      </c>
      <c r="B15" s="22">
        <f>SUM(B12:B14)</f>
        <v>39</v>
      </c>
      <c r="C15" s="22">
        <f>SUM(C12:C14)</f>
        <v>253</v>
      </c>
      <c r="D15" s="22">
        <f>B15+C15</f>
        <v>292</v>
      </c>
      <c r="E15" s="41">
        <f>F15/D15</f>
        <v>260.89041095890411</v>
      </c>
      <c r="F15" s="25">
        <f>SUM(F12:F14)</f>
        <v>76180</v>
      </c>
      <c r="G15" s="25">
        <f>SUM(G12:G14)</f>
        <v>46755.53</v>
      </c>
      <c r="I15" s="7"/>
      <c r="J15" s="7"/>
      <c r="K15" s="7"/>
      <c r="L15" s="42"/>
    </row>
    <row r="16" spans="1:15" x14ac:dyDescent="0.25">
      <c r="A16" s="2"/>
      <c r="B16" s="10"/>
      <c r="C16" s="10"/>
      <c r="D16" s="10"/>
      <c r="E16" s="27"/>
      <c r="F16" s="3"/>
      <c r="G16" s="3"/>
      <c r="I16" s="1" t="s">
        <v>56</v>
      </c>
      <c r="J16" s="3"/>
      <c r="K16" s="1"/>
      <c r="L16" s="42"/>
    </row>
    <row r="17" spans="1:15" x14ac:dyDescent="0.25">
      <c r="A17" s="2" t="s">
        <v>54</v>
      </c>
      <c r="B17" s="36"/>
      <c r="C17" s="37"/>
      <c r="D17" s="37"/>
      <c r="E17" s="4"/>
      <c r="F17" s="3"/>
      <c r="G17" s="3"/>
      <c r="I17" s="1" t="s">
        <v>15</v>
      </c>
      <c r="J17" s="3"/>
      <c r="K17" s="1"/>
      <c r="L17" s="42"/>
    </row>
    <row r="18" spans="1:15" x14ac:dyDescent="0.25">
      <c r="A18" s="1" t="s">
        <v>7</v>
      </c>
      <c r="B18" s="39"/>
      <c r="C18" s="39"/>
      <c r="D18" s="36">
        <v>90</v>
      </c>
      <c r="E18" s="40">
        <f>F18/D18</f>
        <v>165.44444444444446</v>
      </c>
      <c r="F18" s="3">
        <v>14890</v>
      </c>
      <c r="G18" s="3">
        <v>7130.3</v>
      </c>
      <c r="I18" s="1" t="s">
        <v>31</v>
      </c>
      <c r="J18" s="3"/>
      <c r="K18" s="1"/>
      <c r="L18" s="42"/>
    </row>
    <row r="19" spans="1:15" x14ac:dyDescent="0.25">
      <c r="A19" s="1" t="s">
        <v>10</v>
      </c>
      <c r="B19" s="39"/>
      <c r="C19" s="39"/>
      <c r="D19" s="36">
        <v>106</v>
      </c>
      <c r="E19" s="40">
        <f>F19/D19</f>
        <v>243.72641509433961</v>
      </c>
      <c r="F19" s="3">
        <v>25835</v>
      </c>
      <c r="G19" s="3">
        <v>9233.5300000000007</v>
      </c>
      <c r="I19" s="1" t="s">
        <v>32</v>
      </c>
      <c r="J19" s="3"/>
      <c r="K19" s="1"/>
    </row>
    <row r="20" spans="1:15" x14ac:dyDescent="0.25">
      <c r="A20" s="1" t="s">
        <v>11</v>
      </c>
      <c r="B20" s="39"/>
      <c r="C20" s="39"/>
      <c r="D20" s="36">
        <v>79</v>
      </c>
      <c r="E20" s="40">
        <f>F20/D20</f>
        <v>243.54430379746836</v>
      </c>
      <c r="F20" s="3">
        <v>19240</v>
      </c>
      <c r="G20" s="3">
        <v>9590.52</v>
      </c>
      <c r="I20" s="1" t="s">
        <v>14</v>
      </c>
      <c r="J20" s="3"/>
      <c r="K20" s="1"/>
    </row>
    <row r="21" spans="1:15" x14ac:dyDescent="0.25">
      <c r="A21" s="22" t="s">
        <v>30</v>
      </c>
      <c r="B21" s="39"/>
      <c r="C21" s="22"/>
      <c r="D21" s="22">
        <f t="shared" ref="D21" si="0">SUM(D18:D20)</f>
        <v>275</v>
      </c>
      <c r="E21" s="24"/>
      <c r="F21" s="25">
        <f>SUM(F18:F20)</f>
        <v>59965</v>
      </c>
      <c r="G21" s="25">
        <f>SUM(G18:G20)</f>
        <v>25954.350000000002</v>
      </c>
      <c r="I21" s="1" t="s">
        <v>24</v>
      </c>
      <c r="J21" s="3"/>
      <c r="K21" s="1"/>
    </row>
    <row r="22" spans="1:15" x14ac:dyDescent="0.25">
      <c r="A22" s="2"/>
      <c r="B22" s="36"/>
      <c r="C22" s="36"/>
      <c r="D22" s="1"/>
      <c r="E22" s="40"/>
      <c r="F22" s="3"/>
      <c r="G22" s="3"/>
      <c r="I22" s="2" t="s">
        <v>16</v>
      </c>
      <c r="J22" s="10">
        <f>SUM(J16:J21)</f>
        <v>0</v>
      </c>
      <c r="K22" s="1"/>
    </row>
    <row r="23" spans="1:15" x14ac:dyDescent="0.25">
      <c r="A23" s="2" t="s">
        <v>55</v>
      </c>
      <c r="B23" s="36"/>
      <c r="C23" s="36"/>
      <c r="D23" s="1"/>
      <c r="E23" s="40"/>
      <c r="F23" s="3"/>
      <c r="G23" s="3"/>
    </row>
    <row r="24" spans="1:15" x14ac:dyDescent="0.25">
      <c r="A24" s="1" t="s">
        <v>39</v>
      </c>
      <c r="B24" s="39"/>
      <c r="C24" s="51"/>
      <c r="D24" s="38">
        <f t="shared" ref="D24:D28" si="1">SUM(D21)</f>
        <v>275</v>
      </c>
      <c r="E24" s="40">
        <f>F24/D24</f>
        <v>98.090909090909093</v>
      </c>
      <c r="F24" s="3">
        <v>26975</v>
      </c>
      <c r="G24" s="3">
        <v>2515.65</v>
      </c>
    </row>
    <row r="25" spans="1:15" x14ac:dyDescent="0.25">
      <c r="A25" s="1" t="s">
        <v>9</v>
      </c>
      <c r="B25" s="39"/>
      <c r="C25" s="39"/>
      <c r="D25" s="36">
        <v>110</v>
      </c>
      <c r="E25" s="40">
        <f>F25/D25</f>
        <v>238.72727272727272</v>
      </c>
      <c r="F25" s="3">
        <v>26260</v>
      </c>
      <c r="G25" s="18">
        <v>7929.77</v>
      </c>
    </row>
    <row r="26" spans="1:15" x14ac:dyDescent="0.25">
      <c r="A26" s="1" t="s">
        <v>8</v>
      </c>
      <c r="B26" s="39"/>
      <c r="C26" s="39"/>
      <c r="D26" s="36">
        <f t="shared" si="1"/>
        <v>0</v>
      </c>
      <c r="E26" s="1" t="e">
        <f>F26/D26</f>
        <v>#DIV/0!</v>
      </c>
      <c r="F26" s="3">
        <v>0</v>
      </c>
      <c r="G26" s="3">
        <v>4006.6</v>
      </c>
      <c r="I26" s="34" t="s">
        <v>44</v>
      </c>
      <c r="J26" s="47" t="s">
        <v>50</v>
      </c>
      <c r="K26" s="44" t="s">
        <v>49</v>
      </c>
      <c r="L26" s="44" t="s">
        <v>59</v>
      </c>
      <c r="M26" s="45" t="s">
        <v>43</v>
      </c>
      <c r="N26" s="48" t="s">
        <v>22</v>
      </c>
      <c r="O26" s="49" t="s">
        <v>1</v>
      </c>
    </row>
    <row r="27" spans="1:15" x14ac:dyDescent="0.25">
      <c r="A27" s="1" t="s">
        <v>41</v>
      </c>
      <c r="B27" s="39"/>
      <c r="C27" s="39"/>
      <c r="D27" s="36">
        <v>66</v>
      </c>
      <c r="E27" s="40">
        <f>F27/D27</f>
        <v>233.40909090909091</v>
      </c>
      <c r="F27" s="3">
        <v>15405</v>
      </c>
      <c r="G27" s="3">
        <v>6591.57</v>
      </c>
      <c r="H27" s="20"/>
      <c r="I27" s="36" t="s">
        <v>42</v>
      </c>
      <c r="J27" s="36">
        <v>13</v>
      </c>
      <c r="K27" s="36"/>
      <c r="L27" s="38">
        <v>1</v>
      </c>
      <c r="M27" s="36">
        <v>3</v>
      </c>
      <c r="N27" s="35">
        <v>37084</v>
      </c>
      <c r="O27" s="35">
        <v>2148.19</v>
      </c>
    </row>
    <row r="28" spans="1:15" x14ac:dyDescent="0.25">
      <c r="A28" s="22" t="s">
        <v>30</v>
      </c>
      <c r="B28" s="22"/>
      <c r="C28" s="43"/>
      <c r="D28" s="43">
        <f t="shared" si="1"/>
        <v>110</v>
      </c>
      <c r="E28" s="24"/>
      <c r="F28" s="25">
        <f>SUM(F24:F27)</f>
        <v>68640</v>
      </c>
      <c r="G28" s="25">
        <f>SUM(G24:G27)</f>
        <v>21043.59</v>
      </c>
      <c r="I28" s="36" t="s">
        <v>48</v>
      </c>
      <c r="J28" s="36">
        <v>0</v>
      </c>
      <c r="K28" s="36">
        <v>12</v>
      </c>
      <c r="L28" s="38">
        <v>16</v>
      </c>
      <c r="M28" s="36">
        <v>33</v>
      </c>
      <c r="N28" s="52">
        <v>18535</v>
      </c>
      <c r="O28" s="52">
        <v>2059.4899999999998</v>
      </c>
    </row>
    <row r="29" spans="1:15" x14ac:dyDescent="0.25">
      <c r="A29" s="2"/>
      <c r="B29" s="2"/>
      <c r="C29" s="2"/>
      <c r="D29" s="2"/>
      <c r="E29" s="27"/>
      <c r="F29" s="3"/>
      <c r="G29" s="3"/>
      <c r="I29" s="36" t="s">
        <v>58</v>
      </c>
      <c r="J29" s="36"/>
      <c r="K29" s="36"/>
      <c r="L29" s="38"/>
      <c r="M29" s="36"/>
      <c r="N29" s="35"/>
      <c r="O29" s="35">
        <v>0</v>
      </c>
    </row>
    <row r="30" spans="1:15" x14ac:dyDescent="0.25">
      <c r="A30" s="22" t="s">
        <v>57</v>
      </c>
      <c r="B30" s="22"/>
      <c r="C30" s="22"/>
      <c r="D30" s="22"/>
      <c r="E30" s="23"/>
      <c r="F30" s="24"/>
      <c r="G30" s="24"/>
      <c r="I30" s="22" t="s">
        <v>47</v>
      </c>
      <c r="J30" s="22">
        <f>SUM(J27:J29)</f>
        <v>13</v>
      </c>
      <c r="K30" s="22">
        <f>SUM(K27:K29)</f>
        <v>12</v>
      </c>
      <c r="L30" s="43">
        <f>SUM(L27:L28)</f>
        <v>17</v>
      </c>
      <c r="M30" s="22">
        <f>SUM(M27:M28)</f>
        <v>36</v>
      </c>
      <c r="N30" s="25">
        <f>SUM(N27:N29)</f>
        <v>55619</v>
      </c>
      <c r="O30" s="25">
        <f>SUM(O27:O29)</f>
        <v>4207.68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198A-7E24-4EA3-82FB-F0A5F973D8B4}">
  <dimension ref="A1:P30"/>
  <sheetViews>
    <sheetView workbookViewId="0">
      <selection activeCell="O15" sqref="O15"/>
    </sheetView>
  </sheetViews>
  <sheetFormatPr defaultRowHeight="15" x14ac:dyDescent="0.25"/>
  <cols>
    <col min="1" max="1" width="31.7109375" customWidth="1"/>
    <col min="2" max="2" width="9.42578125" customWidth="1"/>
    <col min="6" max="7" width="11.140625" bestFit="1" customWidth="1"/>
    <col min="10" max="10" width="23.7109375" customWidth="1"/>
    <col min="12" max="12" width="10.42578125" customWidth="1"/>
    <col min="15" max="15" width="15.140625" customWidth="1"/>
    <col min="16" max="16" width="10.5703125" customWidth="1"/>
  </cols>
  <sheetData>
    <row r="1" spans="1:16" ht="21" x14ac:dyDescent="0.35">
      <c r="A1" s="14" t="s">
        <v>0</v>
      </c>
      <c r="B1" s="46" t="s">
        <v>65</v>
      </c>
      <c r="C1" s="13"/>
      <c r="D1" s="13"/>
      <c r="E1" s="13"/>
      <c r="F1" s="11"/>
      <c r="G1" s="11"/>
      <c r="H1" s="8"/>
    </row>
    <row r="2" spans="1:16" ht="24" x14ac:dyDescent="0.4">
      <c r="A2" s="12"/>
      <c r="F2" s="11"/>
      <c r="G2" s="11"/>
    </row>
    <row r="3" spans="1:16" ht="15.75" x14ac:dyDescent="0.25">
      <c r="A3" s="5" t="s">
        <v>17</v>
      </c>
      <c r="B3" s="19" t="s">
        <v>13</v>
      </c>
      <c r="C3" s="19" t="s">
        <v>21</v>
      </c>
      <c r="D3" s="19" t="s">
        <v>46</v>
      </c>
      <c r="E3" s="19" t="s">
        <v>26</v>
      </c>
      <c r="F3" s="9" t="s">
        <v>22</v>
      </c>
      <c r="G3" s="9" t="s">
        <v>1</v>
      </c>
      <c r="H3" s="16"/>
      <c r="I3" s="6"/>
      <c r="J3" s="5" t="s">
        <v>12</v>
      </c>
      <c r="K3" s="5" t="s">
        <v>18</v>
      </c>
      <c r="L3" s="2" t="s">
        <v>33</v>
      </c>
      <c r="M3" s="28" t="s">
        <v>20</v>
      </c>
      <c r="O3" s="2" t="s">
        <v>40</v>
      </c>
      <c r="P3" s="2" t="s">
        <v>16</v>
      </c>
    </row>
    <row r="4" spans="1:16" ht="15.75" x14ac:dyDescent="0.25">
      <c r="A4" s="5"/>
      <c r="B4" s="5"/>
      <c r="C4" s="5"/>
      <c r="D4" s="5"/>
      <c r="E4" s="19"/>
      <c r="F4" s="9"/>
      <c r="G4" s="9"/>
      <c r="H4" s="16"/>
      <c r="I4" s="6"/>
      <c r="J4" s="5"/>
      <c r="K4" s="21"/>
      <c r="L4" s="1"/>
      <c r="M4" s="1"/>
      <c r="O4" s="1" t="s">
        <v>63</v>
      </c>
      <c r="P4" s="1">
        <v>1</v>
      </c>
    </row>
    <row r="5" spans="1:16" x14ac:dyDescent="0.25">
      <c r="A5" s="2" t="s">
        <v>25</v>
      </c>
      <c r="B5" s="1"/>
      <c r="C5" s="1"/>
      <c r="D5" s="1"/>
      <c r="E5" s="1"/>
      <c r="F5" s="10"/>
      <c r="G5" s="10"/>
      <c r="H5" s="17"/>
      <c r="I5" s="7"/>
      <c r="J5" s="1" t="s">
        <v>23</v>
      </c>
      <c r="K5" s="1">
        <v>46</v>
      </c>
      <c r="L5" s="1">
        <v>38</v>
      </c>
      <c r="M5" s="4"/>
      <c r="O5" s="1" t="s">
        <v>35</v>
      </c>
      <c r="P5" s="1">
        <v>1</v>
      </c>
    </row>
    <row r="6" spans="1:16" x14ac:dyDescent="0.25">
      <c r="A6" s="1" t="s">
        <v>4</v>
      </c>
      <c r="B6" s="1">
        <v>20</v>
      </c>
      <c r="C6" s="1">
        <v>846</v>
      </c>
      <c r="D6" s="1">
        <f>B6+C6</f>
        <v>866</v>
      </c>
      <c r="E6" s="40">
        <f>F6/D6</f>
        <v>192.3729792147806</v>
      </c>
      <c r="F6" s="3">
        <v>166595</v>
      </c>
      <c r="G6" s="3">
        <v>115218.64</v>
      </c>
      <c r="H6" s="15"/>
      <c r="J6" s="1" t="s">
        <v>14</v>
      </c>
      <c r="K6" s="1">
        <v>25</v>
      </c>
      <c r="L6" s="1">
        <v>20</v>
      </c>
      <c r="M6" s="4"/>
      <c r="O6" s="1" t="s">
        <v>36</v>
      </c>
      <c r="P6" s="1"/>
    </row>
    <row r="7" spans="1:16" x14ac:dyDescent="0.25">
      <c r="A7" s="1" t="s">
        <v>5</v>
      </c>
      <c r="B7" s="1">
        <v>29</v>
      </c>
      <c r="C7" s="1">
        <v>385</v>
      </c>
      <c r="D7" s="1">
        <f>B7+C7</f>
        <v>414</v>
      </c>
      <c r="E7" s="40">
        <f>F7/D7</f>
        <v>229.1159420289855</v>
      </c>
      <c r="F7" s="3">
        <v>94854</v>
      </c>
      <c r="G7" s="3">
        <v>77130.100000000006</v>
      </c>
      <c r="H7" s="15"/>
      <c r="J7" s="1" t="s">
        <v>19</v>
      </c>
      <c r="K7" s="1">
        <v>4</v>
      </c>
      <c r="L7" s="1">
        <v>2</v>
      </c>
      <c r="M7" s="4"/>
      <c r="O7" s="1" t="s">
        <v>45</v>
      </c>
      <c r="P7" s="1"/>
    </row>
    <row r="8" spans="1:16" x14ac:dyDescent="0.25">
      <c r="A8" s="1" t="s">
        <v>6</v>
      </c>
      <c r="B8" s="1">
        <v>25</v>
      </c>
      <c r="C8" s="1">
        <v>322</v>
      </c>
      <c r="D8" s="1">
        <f>B8+C8</f>
        <v>347</v>
      </c>
      <c r="E8" s="40">
        <f>F8/D8</f>
        <v>204.62824207492795</v>
      </c>
      <c r="F8" s="3">
        <v>71006</v>
      </c>
      <c r="G8" s="3">
        <v>52001.56</v>
      </c>
      <c r="H8" s="15"/>
      <c r="J8" s="1" t="s">
        <v>51</v>
      </c>
      <c r="K8" s="1">
        <v>0</v>
      </c>
      <c r="L8" s="1">
        <v>0</v>
      </c>
      <c r="M8" s="4"/>
      <c r="O8" s="1" t="s">
        <v>37</v>
      </c>
      <c r="P8" s="1"/>
    </row>
    <row r="9" spans="1:16" x14ac:dyDescent="0.25">
      <c r="A9" s="22" t="s">
        <v>28</v>
      </c>
      <c r="B9" s="22">
        <f>SUM(B6:B8)</f>
        <v>74</v>
      </c>
      <c r="C9" s="22">
        <f>SUM(C6:C8)</f>
        <v>1553</v>
      </c>
      <c r="D9" s="22">
        <f>B9+C9</f>
        <v>1627</v>
      </c>
      <c r="E9" s="41">
        <f>F9/D9</f>
        <v>204.3362015980332</v>
      </c>
      <c r="F9" s="25">
        <f>SUM(F6:F8)</f>
        <v>332455</v>
      </c>
      <c r="G9" s="25">
        <f>SUM(G6:G8)</f>
        <v>244350.3</v>
      </c>
      <c r="H9" s="26"/>
      <c r="J9" s="1" t="s">
        <v>15</v>
      </c>
      <c r="K9" s="1">
        <v>21</v>
      </c>
      <c r="L9" s="1">
        <v>18</v>
      </c>
      <c r="M9" s="4"/>
      <c r="O9" s="1" t="s">
        <v>66</v>
      </c>
      <c r="P9" s="1">
        <v>6</v>
      </c>
    </row>
    <row r="10" spans="1:16" x14ac:dyDescent="0.25">
      <c r="A10" s="2"/>
      <c r="B10" s="10"/>
      <c r="C10" s="10"/>
      <c r="D10" s="10"/>
      <c r="E10" s="27"/>
      <c r="F10" s="3"/>
      <c r="G10" s="3"/>
      <c r="H10" s="15"/>
      <c r="J10" s="1" t="s">
        <v>34</v>
      </c>
      <c r="K10" s="1">
        <v>28</v>
      </c>
      <c r="L10" s="1">
        <v>27</v>
      </c>
      <c r="M10" s="4"/>
      <c r="O10" s="1" t="s">
        <v>52</v>
      </c>
      <c r="P10" s="1">
        <v>3</v>
      </c>
    </row>
    <row r="11" spans="1:16" x14ac:dyDescent="0.25">
      <c r="A11" s="2" t="s">
        <v>27</v>
      </c>
      <c r="B11" s="1"/>
      <c r="C11" s="1"/>
      <c r="D11" s="1"/>
      <c r="E11" s="4"/>
      <c r="F11" s="10"/>
      <c r="G11" s="10"/>
      <c r="H11" s="17"/>
      <c r="J11" s="29" t="s">
        <v>71</v>
      </c>
      <c r="K11" s="29">
        <v>2</v>
      </c>
      <c r="L11" s="29">
        <v>5</v>
      </c>
      <c r="M11" s="30"/>
      <c r="O11" s="1" t="s">
        <v>60</v>
      </c>
      <c r="P11" s="1">
        <v>1</v>
      </c>
    </row>
    <row r="12" spans="1:16" ht="15.75" thickBot="1" x14ac:dyDescent="0.3">
      <c r="A12" s="1" t="s">
        <v>2</v>
      </c>
      <c r="B12" s="1">
        <v>3</v>
      </c>
      <c r="C12" s="1">
        <v>55</v>
      </c>
      <c r="D12" s="1">
        <f>SUM(B12:C12)</f>
        <v>58</v>
      </c>
      <c r="E12" s="40">
        <f>F12/D12</f>
        <v>321.55172413793105</v>
      </c>
      <c r="F12" s="3">
        <v>18650</v>
      </c>
      <c r="G12" s="18">
        <v>13488.05</v>
      </c>
      <c r="H12" s="15"/>
      <c r="I12" s="7"/>
      <c r="J12" s="29"/>
      <c r="K12" s="29"/>
      <c r="L12" s="29"/>
      <c r="M12" s="30"/>
      <c r="O12" s="1" t="s">
        <v>72</v>
      </c>
      <c r="P12" s="1">
        <v>1</v>
      </c>
    </row>
    <row r="13" spans="1:16" ht="15.75" thickBot="1" x14ac:dyDescent="0.3">
      <c r="A13" s="1" t="s">
        <v>48</v>
      </c>
      <c r="B13" s="1">
        <v>13</v>
      </c>
      <c r="C13" s="1">
        <v>111</v>
      </c>
      <c r="D13" s="1">
        <f>SUM(B13:C13)</f>
        <v>124</v>
      </c>
      <c r="E13" s="40">
        <f>F13/D13</f>
        <v>359.39516129032256</v>
      </c>
      <c r="F13" s="3">
        <v>44565</v>
      </c>
      <c r="G13" s="3">
        <v>32135.29</v>
      </c>
      <c r="H13" s="15"/>
      <c r="J13" s="31" t="s">
        <v>16</v>
      </c>
      <c r="K13" s="32">
        <f>SUM(K5:K12)</f>
        <v>126</v>
      </c>
      <c r="L13" s="32">
        <f>SUM(L5:L12)</f>
        <v>110</v>
      </c>
      <c r="M13" s="33"/>
      <c r="O13" s="1" t="s">
        <v>53</v>
      </c>
      <c r="P13" s="1"/>
    </row>
    <row r="14" spans="1:16" x14ac:dyDescent="0.25">
      <c r="A14" s="1" t="s">
        <v>3</v>
      </c>
      <c r="B14" s="1">
        <v>5</v>
      </c>
      <c r="C14" s="1">
        <v>49</v>
      </c>
      <c r="D14" s="1">
        <f>SUM(B14:C14)</f>
        <v>54</v>
      </c>
      <c r="E14" s="40">
        <f>F14/D14</f>
        <v>301.2037037037037</v>
      </c>
      <c r="F14" s="3">
        <v>16265</v>
      </c>
      <c r="G14" s="3">
        <v>14636.51</v>
      </c>
      <c r="H14" s="15"/>
      <c r="J14" s="7"/>
      <c r="K14" s="7"/>
      <c r="L14" s="7"/>
      <c r="M14" s="42"/>
    </row>
    <row r="15" spans="1:16" x14ac:dyDescent="0.25">
      <c r="A15" s="22" t="s">
        <v>29</v>
      </c>
      <c r="B15" s="22">
        <f>SUM(B12:B14)</f>
        <v>21</v>
      </c>
      <c r="C15" s="22">
        <f>SUM(C12:C14)</f>
        <v>215</v>
      </c>
      <c r="D15" s="22">
        <f>B15+C15</f>
        <v>236</v>
      </c>
      <c r="E15" s="41">
        <f>F15/D15</f>
        <v>336.77966101694915</v>
      </c>
      <c r="F15" s="25">
        <f>SUM(F12:F14)</f>
        <v>79480</v>
      </c>
      <c r="G15" s="25">
        <f>SUM(G12:G14)</f>
        <v>60259.85</v>
      </c>
      <c r="H15" s="26"/>
      <c r="J15" s="7"/>
      <c r="K15" s="7"/>
      <c r="L15" s="7"/>
      <c r="M15" s="42"/>
    </row>
    <row r="16" spans="1:16" x14ac:dyDescent="0.25">
      <c r="A16" s="2"/>
      <c r="B16" s="10"/>
      <c r="C16" s="10"/>
      <c r="D16" s="10"/>
      <c r="E16" s="27"/>
      <c r="F16" s="3"/>
      <c r="G16" s="3"/>
      <c r="H16" s="15"/>
      <c r="J16" s="1" t="s">
        <v>56</v>
      </c>
      <c r="K16" s="3"/>
      <c r="L16" s="1"/>
      <c r="M16" s="42"/>
    </row>
    <row r="17" spans="1:16" x14ac:dyDescent="0.25">
      <c r="A17" s="2" t="s">
        <v>54</v>
      </c>
      <c r="B17" s="36"/>
      <c r="C17" s="37"/>
      <c r="D17" s="37"/>
      <c r="E17" s="4"/>
      <c r="F17" s="3"/>
      <c r="G17" s="3"/>
      <c r="H17" s="15"/>
      <c r="J17" s="1" t="s">
        <v>15</v>
      </c>
      <c r="K17" s="3"/>
      <c r="L17" s="1"/>
      <c r="M17" s="42"/>
    </row>
    <row r="18" spans="1:16" x14ac:dyDescent="0.25">
      <c r="A18" s="1" t="s">
        <v>7</v>
      </c>
      <c r="B18" s="39"/>
      <c r="C18" s="39"/>
      <c r="D18" s="36">
        <v>68</v>
      </c>
      <c r="E18" s="40">
        <v>260</v>
      </c>
      <c r="F18" s="3">
        <v>17680</v>
      </c>
      <c r="G18" s="3">
        <v>9946.35</v>
      </c>
      <c r="H18" s="15"/>
      <c r="J18" s="1" t="s">
        <v>31</v>
      </c>
      <c r="K18" s="3"/>
      <c r="L18" s="1"/>
      <c r="M18" s="42"/>
    </row>
    <row r="19" spans="1:16" x14ac:dyDescent="0.25">
      <c r="A19" s="1" t="s">
        <v>10</v>
      </c>
      <c r="B19" s="39"/>
      <c r="C19" s="39"/>
      <c r="D19" s="36">
        <v>76</v>
      </c>
      <c r="E19" s="1">
        <f>F19/D19</f>
        <v>263.42105263157896</v>
      </c>
      <c r="F19" s="3">
        <v>20020</v>
      </c>
      <c r="G19" s="3">
        <v>10941.25</v>
      </c>
      <c r="H19" s="15"/>
      <c r="J19" s="1" t="s">
        <v>32</v>
      </c>
      <c r="K19" s="3"/>
      <c r="L19" s="1"/>
    </row>
    <row r="20" spans="1:16" x14ac:dyDescent="0.25">
      <c r="A20" s="1" t="s">
        <v>11</v>
      </c>
      <c r="B20" s="39"/>
      <c r="C20" s="39"/>
      <c r="D20" s="36">
        <v>55</v>
      </c>
      <c r="E20" s="1">
        <f>F20/D20</f>
        <v>244.63636363636363</v>
      </c>
      <c r="F20" s="3">
        <v>13455</v>
      </c>
      <c r="G20" s="3">
        <v>12153.53</v>
      </c>
      <c r="H20" s="15"/>
      <c r="J20" s="1" t="s">
        <v>14</v>
      </c>
      <c r="K20" s="3"/>
      <c r="L20" s="1"/>
    </row>
    <row r="21" spans="1:16" x14ac:dyDescent="0.25">
      <c r="A21" s="22" t="s">
        <v>30</v>
      </c>
      <c r="B21" s="39"/>
      <c r="C21" s="22"/>
      <c r="D21" s="22">
        <f t="shared" ref="D21" si="0">SUM(D18:D20)</f>
        <v>199</v>
      </c>
      <c r="E21" s="22">
        <f>SUM(E18:E20)</f>
        <v>768.05741626794259</v>
      </c>
      <c r="F21" s="25">
        <f>SUM(F18:F20)</f>
        <v>51155</v>
      </c>
      <c r="G21" s="25">
        <f>SUM(G18:G20)</f>
        <v>33041.129999999997</v>
      </c>
      <c r="H21" s="26"/>
      <c r="J21" s="1" t="s">
        <v>24</v>
      </c>
      <c r="K21" s="3"/>
      <c r="L21" s="1"/>
    </row>
    <row r="22" spans="1:16" x14ac:dyDescent="0.25">
      <c r="A22" s="2"/>
      <c r="B22" s="36"/>
      <c r="C22" s="36"/>
      <c r="D22" s="1"/>
      <c r="E22" s="40"/>
      <c r="F22" s="3"/>
      <c r="G22" s="3"/>
      <c r="H22" s="15"/>
      <c r="J22" s="2" t="s">
        <v>16</v>
      </c>
      <c r="K22" s="10">
        <f>SUM(K16:K21)</f>
        <v>0</v>
      </c>
      <c r="L22" s="1"/>
    </row>
    <row r="23" spans="1:16" x14ac:dyDescent="0.25">
      <c r="A23" s="2" t="s">
        <v>55</v>
      </c>
      <c r="B23" s="36"/>
      <c r="C23" s="36"/>
      <c r="D23" s="1"/>
      <c r="E23" s="40"/>
      <c r="F23" s="3"/>
      <c r="G23" s="3"/>
      <c r="H23" s="15"/>
    </row>
    <row r="24" spans="1:16" x14ac:dyDescent="0.25">
      <c r="A24" s="1" t="s">
        <v>39</v>
      </c>
      <c r="B24" s="39"/>
      <c r="C24" s="51"/>
      <c r="D24" s="38">
        <v>103</v>
      </c>
      <c r="E24" s="1">
        <f>F24/D24</f>
        <v>188.05825242718447</v>
      </c>
      <c r="F24" s="3">
        <v>19370</v>
      </c>
      <c r="G24" s="3">
        <v>3741.92</v>
      </c>
      <c r="H24" s="15"/>
    </row>
    <row r="25" spans="1:16" x14ac:dyDescent="0.25">
      <c r="A25" s="1" t="s">
        <v>9</v>
      </c>
      <c r="B25" s="39"/>
      <c r="C25" s="39"/>
      <c r="D25" s="36">
        <v>115</v>
      </c>
      <c r="E25" s="1">
        <f>F25/D25</f>
        <v>269.04347826086956</v>
      </c>
      <c r="F25" s="3">
        <v>30940</v>
      </c>
      <c r="G25" s="18">
        <v>11585.44</v>
      </c>
      <c r="H25" s="15"/>
    </row>
    <row r="26" spans="1:16" x14ac:dyDescent="0.25">
      <c r="A26" s="1" t="s">
        <v>8</v>
      </c>
      <c r="B26" s="39"/>
      <c r="C26" s="39"/>
      <c r="D26" s="36">
        <f t="shared" ref="D26:D28" si="1">SUM(D23)</f>
        <v>0</v>
      </c>
      <c r="E26" s="1" t="e">
        <f>F26/D26</f>
        <v>#DIV/0!</v>
      </c>
      <c r="F26" s="3">
        <v>0</v>
      </c>
      <c r="G26" s="3">
        <v>2761.38</v>
      </c>
      <c r="H26" s="15"/>
      <c r="J26" s="34" t="s">
        <v>44</v>
      </c>
      <c r="K26" s="47" t="s">
        <v>50</v>
      </c>
      <c r="L26" s="44" t="s">
        <v>49</v>
      </c>
      <c r="M26" s="44" t="s">
        <v>59</v>
      </c>
      <c r="N26" s="45" t="s">
        <v>43</v>
      </c>
      <c r="O26" s="48" t="s">
        <v>22</v>
      </c>
      <c r="P26" s="49" t="s">
        <v>1</v>
      </c>
    </row>
    <row r="27" spans="1:16" x14ac:dyDescent="0.25">
      <c r="A27" s="1" t="s">
        <v>41</v>
      </c>
      <c r="B27" s="39"/>
      <c r="C27" s="39"/>
      <c r="D27" s="36">
        <v>78</v>
      </c>
      <c r="E27" s="1">
        <f>F27/D27</f>
        <v>235.83333333333334</v>
      </c>
      <c r="F27" s="3">
        <v>18395</v>
      </c>
      <c r="G27" s="3">
        <v>6106</v>
      </c>
      <c r="H27" s="15"/>
      <c r="I27" s="20"/>
      <c r="J27" s="36" t="s">
        <v>42</v>
      </c>
      <c r="K27" s="36">
        <v>16</v>
      </c>
      <c r="L27" s="36">
        <v>1</v>
      </c>
      <c r="M27" s="38"/>
      <c r="N27" s="36">
        <v>2</v>
      </c>
      <c r="O27" s="35">
        <v>109852.87</v>
      </c>
      <c r="P27" s="35">
        <v>7662.33</v>
      </c>
    </row>
    <row r="28" spans="1:16" x14ac:dyDescent="0.25">
      <c r="A28" s="22" t="s">
        <v>30</v>
      </c>
      <c r="B28" s="22"/>
      <c r="C28" s="43"/>
      <c r="D28" s="43">
        <f t="shared" si="1"/>
        <v>115</v>
      </c>
      <c r="E28" s="22" t="e">
        <f>SUM(E24:E27)</f>
        <v>#DIV/0!</v>
      </c>
      <c r="F28" s="25">
        <f>SUM(F24:F27)</f>
        <v>68705</v>
      </c>
      <c r="G28" s="25">
        <f>SUM(G24:G27)</f>
        <v>24194.74</v>
      </c>
      <c r="H28" s="26"/>
      <c r="J28" s="36" t="s">
        <v>48</v>
      </c>
      <c r="K28" s="36"/>
      <c r="L28" s="36">
        <v>13</v>
      </c>
      <c r="M28" s="38">
        <v>15</v>
      </c>
      <c r="N28" s="36">
        <v>13</v>
      </c>
      <c r="O28" s="50"/>
      <c r="P28" s="50"/>
    </row>
    <row r="29" spans="1:16" x14ac:dyDescent="0.25">
      <c r="A29" s="2"/>
      <c r="B29" s="2"/>
      <c r="C29" s="2"/>
      <c r="D29" s="2"/>
      <c r="E29" s="27"/>
      <c r="F29" s="3"/>
      <c r="G29" s="3"/>
      <c r="H29" s="15"/>
      <c r="J29" s="36" t="s">
        <v>58</v>
      </c>
      <c r="K29" s="36"/>
      <c r="L29" s="36"/>
      <c r="M29" s="38"/>
      <c r="N29" s="36"/>
      <c r="O29" s="35">
        <v>34511</v>
      </c>
      <c r="P29" s="35">
        <v>9000.7000000000007</v>
      </c>
    </row>
    <row r="30" spans="1:16" x14ac:dyDescent="0.25">
      <c r="A30" s="22" t="s">
        <v>57</v>
      </c>
      <c r="B30" s="22"/>
      <c r="C30" s="22"/>
      <c r="D30" s="22"/>
      <c r="E30" s="23"/>
      <c r="F30" s="24"/>
      <c r="G30" s="24"/>
      <c r="H30" s="23"/>
      <c r="J30" s="22" t="s">
        <v>47</v>
      </c>
      <c r="K30" s="22">
        <f>SUM(K27:K29)</f>
        <v>16</v>
      </c>
      <c r="L30" s="22">
        <f>SUM(L27:L29)</f>
        <v>14</v>
      </c>
      <c r="M30" s="43">
        <f>SUM(M27:M28)</f>
        <v>15</v>
      </c>
      <c r="N30" s="22">
        <f>SUM(N27:N28)</f>
        <v>15</v>
      </c>
      <c r="O30" s="25">
        <f>SUM(O27:O29)</f>
        <v>144363.87</v>
      </c>
      <c r="P30" s="25">
        <f>SUM(P27:P29)</f>
        <v>16663.03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161D-692E-48F1-8B00-996AD8F6B9F0}">
  <dimension ref="A1:P30"/>
  <sheetViews>
    <sheetView tabSelected="1" workbookViewId="0">
      <selection activeCell="I35" sqref="I35"/>
    </sheetView>
  </sheetViews>
  <sheetFormatPr defaultRowHeight="15" x14ac:dyDescent="0.25"/>
  <cols>
    <col min="1" max="1" width="31" customWidth="1"/>
    <col min="6" max="7" width="11.140625" bestFit="1" customWidth="1"/>
    <col min="10" max="10" width="23" customWidth="1"/>
    <col min="15" max="15" width="14.85546875" customWidth="1"/>
    <col min="16" max="16" width="11.7109375" customWidth="1"/>
  </cols>
  <sheetData>
    <row r="1" spans="1:16" ht="21" x14ac:dyDescent="0.35">
      <c r="A1" s="14" t="s">
        <v>0</v>
      </c>
      <c r="B1" s="46" t="s">
        <v>62</v>
      </c>
      <c r="C1" s="13"/>
      <c r="D1" s="13"/>
      <c r="E1" s="13"/>
      <c r="F1" s="11"/>
      <c r="G1" s="11"/>
      <c r="H1" s="8"/>
    </row>
    <row r="2" spans="1:16" ht="24" x14ac:dyDescent="0.4">
      <c r="A2" s="12"/>
      <c r="F2" s="11"/>
      <c r="G2" s="11"/>
    </row>
    <row r="3" spans="1:16" ht="15.75" x14ac:dyDescent="0.25">
      <c r="A3" s="5" t="s">
        <v>17</v>
      </c>
      <c r="B3" s="19" t="s">
        <v>13</v>
      </c>
      <c r="C3" s="19" t="s">
        <v>21</v>
      </c>
      <c r="D3" s="19" t="s">
        <v>46</v>
      </c>
      <c r="E3" s="19" t="s">
        <v>26</v>
      </c>
      <c r="F3" s="9" t="s">
        <v>22</v>
      </c>
      <c r="G3" s="9" t="s">
        <v>1</v>
      </c>
      <c r="H3" s="16"/>
      <c r="I3" s="6"/>
      <c r="J3" s="5" t="s">
        <v>12</v>
      </c>
      <c r="K3" s="5" t="s">
        <v>18</v>
      </c>
      <c r="L3" s="2" t="s">
        <v>33</v>
      </c>
      <c r="M3" s="28" t="s">
        <v>20</v>
      </c>
      <c r="O3" s="2" t="s">
        <v>40</v>
      </c>
      <c r="P3" s="2" t="s">
        <v>16</v>
      </c>
    </row>
    <row r="4" spans="1:16" ht="15.75" x14ac:dyDescent="0.25">
      <c r="A4" s="5"/>
      <c r="B4" s="5"/>
      <c r="C4" s="5"/>
      <c r="D4" s="5"/>
      <c r="E4" s="19"/>
      <c r="F4" s="9"/>
      <c r="G4" s="9"/>
      <c r="H4" s="16"/>
      <c r="I4" s="6"/>
      <c r="J4" s="5"/>
      <c r="K4" s="21"/>
      <c r="L4" s="1"/>
      <c r="M4" s="1"/>
      <c r="O4" s="1" t="s">
        <v>75</v>
      </c>
      <c r="P4" s="1">
        <v>1</v>
      </c>
    </row>
    <row r="5" spans="1:16" x14ac:dyDescent="0.25">
      <c r="A5" s="2" t="s">
        <v>25</v>
      </c>
      <c r="B5" s="1"/>
      <c r="C5" s="1"/>
      <c r="D5" s="1"/>
      <c r="E5" s="1"/>
      <c r="F5" s="10"/>
      <c r="G5" s="10"/>
      <c r="H5" s="17"/>
      <c r="I5" s="7"/>
      <c r="J5" s="1" t="s">
        <v>23</v>
      </c>
      <c r="K5" s="1">
        <v>65</v>
      </c>
      <c r="L5" s="1">
        <v>63</v>
      </c>
      <c r="M5" s="4">
        <v>0.97</v>
      </c>
      <c r="O5" s="1" t="s">
        <v>35</v>
      </c>
      <c r="P5" s="1">
        <v>2</v>
      </c>
    </row>
    <row r="6" spans="1:16" x14ac:dyDescent="0.25">
      <c r="A6" s="1" t="s">
        <v>4</v>
      </c>
      <c r="B6" s="1">
        <v>43</v>
      </c>
      <c r="C6" s="1">
        <v>972</v>
      </c>
      <c r="D6" s="1">
        <f>B6+C6</f>
        <v>1015</v>
      </c>
      <c r="E6" s="40">
        <f>F6/D6</f>
        <v>209.13793103448276</v>
      </c>
      <c r="F6" s="3">
        <v>212275</v>
      </c>
      <c r="G6" s="3">
        <v>135421.43</v>
      </c>
      <c r="H6" s="15"/>
      <c r="J6" s="1" t="s">
        <v>14</v>
      </c>
      <c r="K6" s="1">
        <v>18</v>
      </c>
      <c r="L6" s="1">
        <v>18</v>
      </c>
      <c r="M6" s="4">
        <v>1</v>
      </c>
      <c r="O6" s="1" t="s">
        <v>76</v>
      </c>
      <c r="P6" s="1">
        <v>2</v>
      </c>
    </row>
    <row r="7" spans="1:16" x14ac:dyDescent="0.25">
      <c r="A7" s="1" t="s">
        <v>5</v>
      </c>
      <c r="B7" s="1">
        <v>39</v>
      </c>
      <c r="C7" s="1">
        <v>410</v>
      </c>
      <c r="D7" s="1">
        <f>B7+C7</f>
        <v>449</v>
      </c>
      <c r="E7" s="40">
        <f>F7/D7</f>
        <v>240.09354120267261</v>
      </c>
      <c r="F7" s="3">
        <v>107802</v>
      </c>
      <c r="G7" s="3">
        <v>68774.070000000007</v>
      </c>
      <c r="H7" s="15"/>
      <c r="J7" s="1" t="s">
        <v>19</v>
      </c>
      <c r="K7" s="1">
        <v>6</v>
      </c>
      <c r="L7" s="1">
        <v>5</v>
      </c>
      <c r="M7" s="4">
        <v>0.83</v>
      </c>
      <c r="O7" s="1" t="s">
        <v>45</v>
      </c>
      <c r="P7" s="1">
        <v>2</v>
      </c>
    </row>
    <row r="8" spans="1:16" x14ac:dyDescent="0.25">
      <c r="A8" s="1" t="s">
        <v>6</v>
      </c>
      <c r="B8" s="1">
        <v>36</v>
      </c>
      <c r="C8" s="1">
        <v>437</v>
      </c>
      <c r="D8" s="1">
        <f>B8+C8</f>
        <v>473</v>
      </c>
      <c r="E8" s="40">
        <f>F8/D8</f>
        <v>216.17758985200845</v>
      </c>
      <c r="F8" s="3">
        <v>102252</v>
      </c>
      <c r="G8" s="3">
        <v>47329.07</v>
      </c>
      <c r="H8" s="15"/>
      <c r="J8" s="1" t="s">
        <v>51</v>
      </c>
      <c r="K8" s="1">
        <v>0</v>
      </c>
      <c r="L8" s="1">
        <v>0</v>
      </c>
      <c r="M8" s="4"/>
      <c r="O8" s="1" t="s">
        <v>37</v>
      </c>
      <c r="P8" s="1">
        <v>2</v>
      </c>
    </row>
    <row r="9" spans="1:16" x14ac:dyDescent="0.25">
      <c r="A9" s="22" t="s">
        <v>28</v>
      </c>
      <c r="B9" s="22">
        <f>SUM(B6:B8)</f>
        <v>118</v>
      </c>
      <c r="C9" s="22">
        <f>SUM(C6:C8)</f>
        <v>1819</v>
      </c>
      <c r="D9" s="22">
        <f>B9+C9</f>
        <v>1937</v>
      </c>
      <c r="E9" s="41">
        <f>F9/D9</f>
        <v>218.03252452245741</v>
      </c>
      <c r="F9" s="25">
        <f>SUM(F6:F8)</f>
        <v>422329</v>
      </c>
      <c r="G9" s="25">
        <f>SUM(G6:G8)</f>
        <v>251524.57</v>
      </c>
      <c r="H9" s="26"/>
      <c r="J9" s="1" t="s">
        <v>15</v>
      </c>
      <c r="K9" s="1">
        <v>38</v>
      </c>
      <c r="L9" s="1">
        <v>29</v>
      </c>
      <c r="M9" s="4">
        <v>0.76</v>
      </c>
      <c r="O9" s="1" t="s">
        <v>66</v>
      </c>
      <c r="P9" s="1">
        <v>2</v>
      </c>
    </row>
    <row r="10" spans="1:16" x14ac:dyDescent="0.25">
      <c r="A10" s="2"/>
      <c r="B10" s="10"/>
      <c r="C10" s="10"/>
      <c r="D10" s="10"/>
      <c r="E10" s="27"/>
      <c r="F10" s="3"/>
      <c r="G10" s="3"/>
      <c r="H10" s="15"/>
      <c r="J10" s="1" t="s">
        <v>34</v>
      </c>
      <c r="K10" s="1">
        <v>36</v>
      </c>
      <c r="L10" s="1">
        <v>34</v>
      </c>
      <c r="M10" s="4">
        <v>0.94</v>
      </c>
      <c r="O10" s="1" t="s">
        <v>73</v>
      </c>
      <c r="P10" s="1">
        <v>2</v>
      </c>
    </row>
    <row r="11" spans="1:16" x14ac:dyDescent="0.25">
      <c r="A11" s="2" t="s">
        <v>27</v>
      </c>
      <c r="B11" s="1"/>
      <c r="C11" s="1"/>
      <c r="D11" s="1"/>
      <c r="E11" s="4"/>
      <c r="F11" s="10"/>
      <c r="G11" s="10"/>
      <c r="H11" s="17"/>
      <c r="J11" s="29"/>
      <c r="K11" s="29"/>
      <c r="L11" s="29"/>
      <c r="M11" s="30"/>
      <c r="O11" s="1" t="s">
        <v>74</v>
      </c>
      <c r="P11" s="1">
        <v>1</v>
      </c>
    </row>
    <row r="12" spans="1:16" ht="15.75" thickBot="1" x14ac:dyDescent="0.3">
      <c r="A12" s="1" t="s">
        <v>2</v>
      </c>
      <c r="B12" s="1">
        <v>7</v>
      </c>
      <c r="C12" s="1">
        <v>59</v>
      </c>
      <c r="D12" s="1">
        <f>SUM(B12:C12)</f>
        <v>66</v>
      </c>
      <c r="E12" s="40">
        <f>F12/D12</f>
        <v>313.4848484848485</v>
      </c>
      <c r="F12" s="3">
        <v>20690</v>
      </c>
      <c r="G12" s="18">
        <v>23170.1</v>
      </c>
      <c r="H12" s="15"/>
      <c r="I12" s="7"/>
      <c r="J12" s="29"/>
      <c r="K12" s="29"/>
      <c r="L12" s="29"/>
      <c r="M12" s="30"/>
      <c r="O12" s="1" t="s">
        <v>77</v>
      </c>
      <c r="P12" s="1">
        <v>0</v>
      </c>
    </row>
    <row r="13" spans="1:16" ht="15.75" thickBot="1" x14ac:dyDescent="0.3">
      <c r="A13" s="1" t="s">
        <v>48</v>
      </c>
      <c r="B13" s="1">
        <v>12</v>
      </c>
      <c r="C13" s="1">
        <v>66</v>
      </c>
      <c r="D13" s="1">
        <f>SUM(B13:C13)</f>
        <v>78</v>
      </c>
      <c r="E13" s="40">
        <f>F13/D13</f>
        <v>773.91025641025647</v>
      </c>
      <c r="F13" s="3">
        <v>60365</v>
      </c>
      <c r="G13" s="3">
        <v>28444.15</v>
      </c>
      <c r="H13" s="15"/>
      <c r="J13" s="31" t="s">
        <v>16</v>
      </c>
      <c r="K13" s="32">
        <f>SUM(K5:K12)</f>
        <v>163</v>
      </c>
      <c r="L13" s="32">
        <f>SUM(L5:L12)</f>
        <v>149</v>
      </c>
      <c r="M13" s="33"/>
      <c r="O13" s="1" t="s">
        <v>63</v>
      </c>
      <c r="P13" s="1">
        <v>0</v>
      </c>
    </row>
    <row r="14" spans="1:16" x14ac:dyDescent="0.25">
      <c r="A14" s="1" t="s">
        <v>3</v>
      </c>
      <c r="B14" s="1">
        <v>0</v>
      </c>
      <c r="C14" s="1">
        <v>37</v>
      </c>
      <c r="D14" s="1">
        <f>SUM(B14:C14)</f>
        <v>37</v>
      </c>
      <c r="E14" s="40">
        <f>F14/D14</f>
        <v>315.81081081081084</v>
      </c>
      <c r="F14" s="3">
        <v>11685</v>
      </c>
      <c r="G14" s="3">
        <v>8304.41</v>
      </c>
      <c r="H14" s="15"/>
      <c r="J14" s="7"/>
      <c r="K14" s="7"/>
      <c r="L14" s="7"/>
      <c r="M14" s="42"/>
    </row>
    <row r="15" spans="1:16" x14ac:dyDescent="0.25">
      <c r="A15" s="22" t="s">
        <v>29</v>
      </c>
      <c r="B15" s="22">
        <f>SUM(B12:B14)</f>
        <v>19</v>
      </c>
      <c r="C15" s="22">
        <f>SUM(C12:C14)</f>
        <v>162</v>
      </c>
      <c r="D15" s="22">
        <f>B15+C15</f>
        <v>181</v>
      </c>
      <c r="E15" s="41">
        <f>F15/D15</f>
        <v>512.37569060773478</v>
      </c>
      <c r="F15" s="25">
        <f>SUM(F12:F14)</f>
        <v>92740</v>
      </c>
      <c r="G15" s="25">
        <f>SUM(G12:G14)</f>
        <v>59918.66</v>
      </c>
      <c r="H15" s="26"/>
      <c r="J15" s="7"/>
      <c r="K15" s="7"/>
      <c r="L15" s="7"/>
      <c r="M15" s="42"/>
    </row>
    <row r="16" spans="1:16" x14ac:dyDescent="0.25">
      <c r="A16" s="2"/>
      <c r="B16" s="10"/>
      <c r="C16" s="10"/>
      <c r="D16" s="10"/>
      <c r="E16" s="27"/>
      <c r="F16" s="3"/>
      <c r="G16" s="3"/>
      <c r="H16" s="15"/>
      <c r="J16" s="1" t="s">
        <v>56</v>
      </c>
      <c r="K16" s="3"/>
      <c r="L16" s="1"/>
      <c r="M16" s="42"/>
    </row>
    <row r="17" spans="1:16" x14ac:dyDescent="0.25">
      <c r="A17" s="2" t="s">
        <v>54</v>
      </c>
      <c r="B17" s="36"/>
      <c r="C17" s="37"/>
      <c r="D17" s="37"/>
      <c r="E17" s="4"/>
      <c r="F17" s="3"/>
      <c r="G17" s="3"/>
      <c r="H17" s="15"/>
      <c r="J17" s="1" t="s">
        <v>15</v>
      </c>
      <c r="K17" s="3"/>
      <c r="L17" s="1"/>
      <c r="M17" s="42"/>
    </row>
    <row r="18" spans="1:16" x14ac:dyDescent="0.25">
      <c r="A18" s="1" t="s">
        <v>7</v>
      </c>
      <c r="B18" s="39"/>
      <c r="C18" s="39"/>
      <c r="D18" s="36">
        <v>67</v>
      </c>
      <c r="E18" s="1">
        <f>F18/D18</f>
        <v>244.47761194029852</v>
      </c>
      <c r="F18" s="3">
        <v>16380</v>
      </c>
      <c r="G18" s="3">
        <v>9931.31</v>
      </c>
      <c r="H18" s="15"/>
      <c r="J18" s="1" t="s">
        <v>31</v>
      </c>
      <c r="K18" s="3"/>
      <c r="L18" s="1"/>
      <c r="M18" s="42"/>
    </row>
    <row r="19" spans="1:16" x14ac:dyDescent="0.25">
      <c r="A19" s="1" t="s">
        <v>10</v>
      </c>
      <c r="B19" s="39"/>
      <c r="C19" s="39"/>
      <c r="D19" s="36">
        <v>87</v>
      </c>
      <c r="E19" s="1">
        <f>F19/D19</f>
        <v>250.28735632183907</v>
      </c>
      <c r="F19" s="3">
        <v>21775</v>
      </c>
      <c r="G19" s="3">
        <v>12072.51</v>
      </c>
      <c r="H19" s="15"/>
      <c r="J19" s="1" t="s">
        <v>32</v>
      </c>
      <c r="K19" s="3"/>
      <c r="L19" s="1"/>
    </row>
    <row r="20" spans="1:16" x14ac:dyDescent="0.25">
      <c r="A20" s="1" t="s">
        <v>11</v>
      </c>
      <c r="B20" s="39"/>
      <c r="C20" s="39"/>
      <c r="D20" s="36">
        <f t="shared" ref="D18:D21" si="0">SUM(D17:D19)</f>
        <v>154</v>
      </c>
      <c r="E20" s="1">
        <f>F20/D20</f>
        <v>133.7987012987013</v>
      </c>
      <c r="F20" s="3">
        <v>20605</v>
      </c>
      <c r="G20" s="3">
        <v>12371.15</v>
      </c>
      <c r="H20" s="15"/>
      <c r="J20" s="1" t="s">
        <v>14</v>
      </c>
      <c r="K20" s="3"/>
      <c r="L20" s="1"/>
    </row>
    <row r="21" spans="1:16" x14ac:dyDescent="0.25">
      <c r="A21" s="22" t="s">
        <v>30</v>
      </c>
      <c r="B21" s="39"/>
      <c r="C21" s="22"/>
      <c r="D21" s="22">
        <f t="shared" si="0"/>
        <v>308</v>
      </c>
      <c r="E21" s="24"/>
      <c r="F21" s="25">
        <f>SUM(F18:F20)</f>
        <v>58760</v>
      </c>
      <c r="G21" s="25">
        <f>SUM(G18:G20)</f>
        <v>34374.97</v>
      </c>
      <c r="H21" s="26"/>
      <c r="J21" s="1" t="s">
        <v>24</v>
      </c>
      <c r="K21" s="3"/>
      <c r="L21" s="1"/>
    </row>
    <row r="22" spans="1:16" x14ac:dyDescent="0.25">
      <c r="A22" s="2"/>
      <c r="B22" s="36"/>
      <c r="C22" s="36"/>
      <c r="D22" s="1"/>
      <c r="E22" s="40"/>
      <c r="F22" s="3"/>
      <c r="G22" s="3"/>
      <c r="H22" s="15"/>
      <c r="J22" s="2" t="s">
        <v>16</v>
      </c>
      <c r="K22" s="10">
        <f>SUM(K16:K21)</f>
        <v>0</v>
      </c>
      <c r="L22" s="1"/>
    </row>
    <row r="23" spans="1:16" x14ac:dyDescent="0.25">
      <c r="A23" s="2" t="s">
        <v>55</v>
      </c>
      <c r="B23" s="36"/>
      <c r="C23" s="36"/>
      <c r="D23" s="1"/>
      <c r="E23" s="40"/>
      <c r="F23" s="3"/>
      <c r="G23" s="3"/>
      <c r="H23" s="15"/>
    </row>
    <row r="24" spans="1:16" x14ac:dyDescent="0.25">
      <c r="A24" s="1" t="s">
        <v>39</v>
      </c>
      <c r="B24" s="39"/>
      <c r="C24" s="51"/>
      <c r="D24" s="38">
        <v>0</v>
      </c>
      <c r="E24" s="1">
        <v>0</v>
      </c>
      <c r="F24" s="3">
        <v>0</v>
      </c>
      <c r="G24" s="3">
        <v>8625.8799999999992</v>
      </c>
      <c r="H24" s="15"/>
    </row>
    <row r="25" spans="1:16" x14ac:dyDescent="0.25">
      <c r="A25" s="1" t="s">
        <v>9</v>
      </c>
      <c r="B25" s="39"/>
      <c r="C25" s="39"/>
      <c r="D25" s="36">
        <v>94</v>
      </c>
      <c r="E25" s="1">
        <f>F25/D25</f>
        <v>249.62765957446808</v>
      </c>
      <c r="F25" s="3">
        <v>23465</v>
      </c>
      <c r="G25" s="18">
        <v>13383.19</v>
      </c>
      <c r="H25" s="15"/>
    </row>
    <row r="26" spans="1:16" x14ac:dyDescent="0.25">
      <c r="A26" s="1" t="s">
        <v>8</v>
      </c>
      <c r="B26" s="39"/>
      <c r="C26" s="39"/>
      <c r="D26" s="36">
        <v>0</v>
      </c>
      <c r="E26" s="1">
        <v>0</v>
      </c>
      <c r="F26" s="3"/>
      <c r="G26" s="3">
        <v>2243.96</v>
      </c>
      <c r="H26" s="15"/>
      <c r="J26" s="34" t="s">
        <v>44</v>
      </c>
      <c r="K26" s="47" t="s">
        <v>50</v>
      </c>
      <c r="L26" s="44" t="s">
        <v>49</v>
      </c>
      <c r="M26" s="44" t="s">
        <v>59</v>
      </c>
      <c r="N26" s="45" t="s">
        <v>43</v>
      </c>
      <c r="O26" s="48" t="s">
        <v>22</v>
      </c>
      <c r="P26" s="49" t="s">
        <v>1</v>
      </c>
    </row>
    <row r="27" spans="1:16" x14ac:dyDescent="0.25">
      <c r="A27" s="1" t="s">
        <v>41</v>
      </c>
      <c r="B27" s="39"/>
      <c r="C27" s="39"/>
      <c r="D27" s="36">
        <v>70</v>
      </c>
      <c r="E27" s="1">
        <f>F27/D27</f>
        <v>233.07142857142858</v>
      </c>
      <c r="F27" s="3">
        <v>16315</v>
      </c>
      <c r="G27" s="3">
        <v>6739.73</v>
      </c>
      <c r="H27" s="15"/>
      <c r="I27" s="20"/>
      <c r="J27" s="36" t="s">
        <v>42</v>
      </c>
      <c r="K27" s="36"/>
      <c r="L27" s="36"/>
      <c r="M27" s="38"/>
      <c r="N27" s="36"/>
      <c r="O27" s="35">
        <v>94773</v>
      </c>
      <c r="P27" s="35">
        <v>25125.17</v>
      </c>
    </row>
    <row r="28" spans="1:16" x14ac:dyDescent="0.25">
      <c r="A28" s="22" t="s">
        <v>30</v>
      </c>
      <c r="B28" s="22"/>
      <c r="C28" s="43"/>
      <c r="D28" s="43">
        <f>SUM(D24:D27)</f>
        <v>164</v>
      </c>
      <c r="E28" s="24"/>
      <c r="F28" s="25">
        <f>SUM(F24:F27)</f>
        <v>39780</v>
      </c>
      <c r="G28" s="25">
        <f>SUM(G24:G27)</f>
        <v>30992.76</v>
      </c>
      <c r="H28" s="26"/>
      <c r="J28" s="36" t="s">
        <v>48</v>
      </c>
      <c r="K28" s="36">
        <v>0</v>
      </c>
      <c r="L28" s="36"/>
      <c r="M28" s="38"/>
      <c r="N28" s="36"/>
      <c r="O28" s="50"/>
      <c r="P28" s="50"/>
    </row>
    <row r="29" spans="1:16" x14ac:dyDescent="0.25">
      <c r="A29" s="2"/>
      <c r="B29" s="2"/>
      <c r="C29" s="2"/>
      <c r="D29" s="2"/>
      <c r="E29" s="27"/>
      <c r="F29" s="3"/>
      <c r="G29" s="3"/>
      <c r="H29" s="15"/>
      <c r="J29" s="36" t="s">
        <v>58</v>
      </c>
      <c r="K29" s="36"/>
      <c r="L29" s="36"/>
      <c r="M29" s="38"/>
      <c r="N29" s="36"/>
      <c r="O29" s="35">
        <v>49660</v>
      </c>
      <c r="P29" s="35">
        <v>19731.87</v>
      </c>
    </row>
    <row r="30" spans="1:16" x14ac:dyDescent="0.25">
      <c r="A30" s="22" t="s">
        <v>57</v>
      </c>
      <c r="B30" s="22"/>
      <c r="C30" s="22"/>
      <c r="D30" s="22"/>
      <c r="E30" s="23"/>
      <c r="F30" s="24"/>
      <c r="G30" s="24"/>
      <c r="H30" s="23"/>
      <c r="J30" s="22" t="s">
        <v>47</v>
      </c>
      <c r="K30" s="22">
        <f>SUM(K27:K29)</f>
        <v>0</v>
      </c>
      <c r="L30" s="22">
        <f>SUM(L27:L29)</f>
        <v>0</v>
      </c>
      <c r="M30" s="43">
        <f>SUM(M27:M28)</f>
        <v>0</v>
      </c>
      <c r="N30" s="22">
        <f>SUM(N27:N28)</f>
        <v>0</v>
      </c>
      <c r="O30" s="25">
        <f>SUM(O27:O29)</f>
        <v>144433</v>
      </c>
      <c r="P30" s="25">
        <f>SUM(P27:P29)</f>
        <v>44857.039999999994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E8E8-1296-4B83-9062-7A20B4A5B1CD}">
  <dimension ref="A1:P30"/>
  <sheetViews>
    <sheetView workbookViewId="0">
      <selection activeCell="F32" sqref="F32"/>
    </sheetView>
  </sheetViews>
  <sheetFormatPr defaultRowHeight="15" x14ac:dyDescent="0.25"/>
  <cols>
    <col min="1" max="1" width="31.85546875" customWidth="1"/>
    <col min="2" max="2" width="10.28515625" customWidth="1"/>
    <col min="3" max="4" width="10.140625" customWidth="1"/>
    <col min="5" max="5" width="10" customWidth="1"/>
    <col min="6" max="6" width="15.5703125" style="11" customWidth="1"/>
    <col min="7" max="7" width="13.140625" style="11" customWidth="1"/>
    <col min="8" max="8" width="7.7109375" customWidth="1"/>
    <col min="9" max="9" width="4" customWidth="1"/>
    <col min="10" max="10" width="28.5703125" customWidth="1"/>
    <col min="11" max="11" width="13.28515625" customWidth="1"/>
    <col min="12" max="12" width="11.140625" customWidth="1"/>
    <col min="13" max="14" width="8.5703125" customWidth="1"/>
    <col min="15" max="15" width="17.28515625" customWidth="1"/>
    <col min="16" max="16" width="11.5703125" customWidth="1"/>
  </cols>
  <sheetData>
    <row r="1" spans="1:16" ht="27" customHeight="1" x14ac:dyDescent="0.35">
      <c r="A1" s="14" t="s">
        <v>0</v>
      </c>
      <c r="B1" s="46" t="s">
        <v>62</v>
      </c>
      <c r="C1" s="13"/>
      <c r="D1" s="13"/>
      <c r="E1" s="13"/>
      <c r="H1" s="8"/>
    </row>
    <row r="2" spans="1:16" ht="12.75" customHeight="1" x14ac:dyDescent="0.4">
      <c r="A2" s="12"/>
    </row>
    <row r="3" spans="1:16" ht="15.75" x14ac:dyDescent="0.25">
      <c r="A3" s="5" t="s">
        <v>17</v>
      </c>
      <c r="B3" s="19" t="s">
        <v>13</v>
      </c>
      <c r="C3" s="19" t="s">
        <v>21</v>
      </c>
      <c r="D3" s="19" t="s">
        <v>46</v>
      </c>
      <c r="E3" s="19" t="s">
        <v>26</v>
      </c>
      <c r="F3" s="9" t="s">
        <v>22</v>
      </c>
      <c r="G3" s="9" t="s">
        <v>1</v>
      </c>
      <c r="H3" s="16"/>
      <c r="I3" s="6"/>
      <c r="J3" s="5" t="s">
        <v>12</v>
      </c>
      <c r="K3" s="5" t="s">
        <v>18</v>
      </c>
      <c r="L3" s="2" t="s">
        <v>33</v>
      </c>
      <c r="M3" s="28" t="s">
        <v>20</v>
      </c>
      <c r="O3" s="2" t="s">
        <v>40</v>
      </c>
      <c r="P3" s="2" t="s">
        <v>16</v>
      </c>
    </row>
    <row r="4" spans="1:16" ht="15.75" x14ac:dyDescent="0.25">
      <c r="A4" s="5"/>
      <c r="B4" s="5"/>
      <c r="C4" s="5"/>
      <c r="D4" s="5"/>
      <c r="E4" s="19"/>
      <c r="F4" s="9"/>
      <c r="G4" s="9"/>
      <c r="H4" s="16"/>
      <c r="I4" s="6"/>
      <c r="J4" s="5"/>
      <c r="K4" s="21"/>
      <c r="L4" s="1"/>
      <c r="M4" s="1"/>
      <c r="O4" s="1" t="s">
        <v>63</v>
      </c>
      <c r="P4" s="1"/>
    </row>
    <row r="5" spans="1:16" ht="15" customHeight="1" x14ac:dyDescent="0.25">
      <c r="A5" s="2" t="s">
        <v>25</v>
      </c>
      <c r="B5" s="1"/>
      <c r="C5" s="1"/>
      <c r="D5" s="1"/>
      <c r="E5" s="1"/>
      <c r="F5" s="10"/>
      <c r="G5" s="10"/>
      <c r="H5" s="17"/>
      <c r="I5" s="7"/>
      <c r="J5" s="1" t="s">
        <v>23</v>
      </c>
      <c r="K5" s="1"/>
      <c r="L5" s="1"/>
      <c r="M5" s="4"/>
      <c r="O5" s="1" t="s">
        <v>35</v>
      </c>
      <c r="P5" s="1"/>
    </row>
    <row r="6" spans="1:16" x14ac:dyDescent="0.25">
      <c r="A6" s="1" t="s">
        <v>4</v>
      </c>
      <c r="B6" s="1"/>
      <c r="C6" s="1"/>
      <c r="D6" s="1">
        <f>B6+C6</f>
        <v>0</v>
      </c>
      <c r="E6" s="40" t="e">
        <f>F6/D6</f>
        <v>#DIV/0!</v>
      </c>
      <c r="F6" s="3"/>
      <c r="G6" s="3"/>
      <c r="H6" s="15"/>
      <c r="J6" s="1" t="s">
        <v>14</v>
      </c>
      <c r="K6" s="1"/>
      <c r="L6" s="1"/>
      <c r="M6" s="4"/>
      <c r="O6" s="1" t="s">
        <v>36</v>
      </c>
      <c r="P6" s="1"/>
    </row>
    <row r="7" spans="1:16" x14ac:dyDescent="0.25">
      <c r="A7" s="1" t="s">
        <v>5</v>
      </c>
      <c r="B7" s="1"/>
      <c r="C7" s="1"/>
      <c r="D7" s="1">
        <f>B7+C7</f>
        <v>0</v>
      </c>
      <c r="E7" s="40" t="e">
        <f>F7/D7</f>
        <v>#DIV/0!</v>
      </c>
      <c r="F7" s="3"/>
      <c r="G7" s="3"/>
      <c r="H7" s="15"/>
      <c r="J7" s="1" t="s">
        <v>19</v>
      </c>
      <c r="K7" s="1"/>
      <c r="L7" s="1"/>
      <c r="M7" s="4"/>
      <c r="O7" s="1" t="s">
        <v>45</v>
      </c>
      <c r="P7" s="1"/>
    </row>
    <row r="8" spans="1:16" x14ac:dyDescent="0.25">
      <c r="A8" s="1" t="s">
        <v>6</v>
      </c>
      <c r="B8" s="1"/>
      <c r="C8" s="1"/>
      <c r="D8" s="1">
        <f>B8+C8</f>
        <v>0</v>
      </c>
      <c r="E8" s="40" t="e">
        <f>F8/D8</f>
        <v>#DIV/0!</v>
      </c>
      <c r="F8" s="3"/>
      <c r="G8" s="3"/>
      <c r="H8" s="15"/>
      <c r="J8" s="1" t="s">
        <v>51</v>
      </c>
      <c r="K8" s="1"/>
      <c r="L8" s="1"/>
      <c r="M8" s="4"/>
      <c r="O8" s="1" t="s">
        <v>37</v>
      </c>
      <c r="P8" s="1"/>
    </row>
    <row r="9" spans="1:16" x14ac:dyDescent="0.25">
      <c r="A9" s="22" t="s">
        <v>28</v>
      </c>
      <c r="B9" s="22">
        <f>SUM(B6:B8)</f>
        <v>0</v>
      </c>
      <c r="C9" s="22">
        <f>SUM(C6:C8)</f>
        <v>0</v>
      </c>
      <c r="D9" s="22">
        <f>B9+C9</f>
        <v>0</v>
      </c>
      <c r="E9" s="41" t="e">
        <f>F9/D9</f>
        <v>#DIV/0!</v>
      </c>
      <c r="F9" s="25">
        <f>SUM(F6:F8)</f>
        <v>0</v>
      </c>
      <c r="G9" s="25">
        <f>SUM(G6:G8)</f>
        <v>0</v>
      </c>
      <c r="H9" s="26"/>
      <c r="J9" s="1" t="s">
        <v>15</v>
      </c>
      <c r="K9" s="1"/>
      <c r="L9" s="1"/>
      <c r="M9" s="4"/>
      <c r="O9" s="1" t="s">
        <v>38</v>
      </c>
      <c r="P9" s="1"/>
    </row>
    <row r="10" spans="1:16" x14ac:dyDescent="0.25">
      <c r="A10" s="2"/>
      <c r="B10" s="10"/>
      <c r="C10" s="10"/>
      <c r="D10" s="10"/>
      <c r="E10" s="27"/>
      <c r="F10" s="3"/>
      <c r="G10" s="3"/>
      <c r="H10" s="15"/>
      <c r="J10" s="1" t="s">
        <v>34</v>
      </c>
      <c r="K10" s="1"/>
      <c r="L10" s="1"/>
      <c r="M10" s="4"/>
      <c r="O10" s="1" t="s">
        <v>52</v>
      </c>
      <c r="P10" s="1"/>
    </row>
    <row r="11" spans="1:16" x14ac:dyDescent="0.25">
      <c r="A11" s="2" t="s">
        <v>27</v>
      </c>
      <c r="B11" s="1"/>
      <c r="C11" s="1"/>
      <c r="D11" s="1"/>
      <c r="E11" s="4"/>
      <c r="F11" s="10"/>
      <c r="G11" s="10"/>
      <c r="H11" s="17"/>
      <c r="J11" s="29"/>
      <c r="K11" s="29"/>
      <c r="L11" s="29"/>
      <c r="M11" s="30"/>
      <c r="O11" s="1" t="s">
        <v>60</v>
      </c>
      <c r="P11" s="1"/>
    </row>
    <row r="12" spans="1:16" ht="15.75" thickBot="1" x14ac:dyDescent="0.3">
      <c r="A12" s="1" t="s">
        <v>2</v>
      </c>
      <c r="B12" s="1"/>
      <c r="C12" s="1"/>
      <c r="D12" s="1"/>
      <c r="E12" s="40" t="e">
        <f>F12/D12</f>
        <v>#DIV/0!</v>
      </c>
      <c r="F12" s="3"/>
      <c r="G12" s="18"/>
      <c r="H12" s="15"/>
      <c r="I12" s="7"/>
      <c r="J12" s="29"/>
      <c r="K12" s="29"/>
      <c r="L12" s="29"/>
      <c r="M12" s="30"/>
      <c r="O12" s="1" t="s">
        <v>61</v>
      </c>
      <c r="P12" s="1"/>
    </row>
    <row r="13" spans="1:16" ht="15.75" thickBot="1" x14ac:dyDescent="0.3">
      <c r="A13" s="1" t="s">
        <v>48</v>
      </c>
      <c r="B13" s="1"/>
      <c r="C13" s="1"/>
      <c r="D13" s="1"/>
      <c r="E13" s="40" t="e">
        <f>F13/D13</f>
        <v>#DIV/0!</v>
      </c>
      <c r="F13" s="3"/>
      <c r="G13" s="3"/>
      <c r="H13" s="15"/>
      <c r="J13" s="31" t="s">
        <v>16</v>
      </c>
      <c r="K13" s="32">
        <f>SUM(K5:K12)</f>
        <v>0</v>
      </c>
      <c r="L13" s="32">
        <f>SUM(L5:L12)</f>
        <v>0</v>
      </c>
      <c r="M13" s="33"/>
      <c r="O13" s="1" t="s">
        <v>53</v>
      </c>
      <c r="P13" s="1"/>
    </row>
    <row r="14" spans="1:16" x14ac:dyDescent="0.25">
      <c r="A14" s="1" t="s">
        <v>3</v>
      </c>
      <c r="B14" s="1"/>
      <c r="C14" s="1"/>
      <c r="D14" s="1"/>
      <c r="E14" s="40" t="e">
        <f>F14/D14</f>
        <v>#DIV/0!</v>
      </c>
      <c r="F14" s="3"/>
      <c r="G14" s="3"/>
      <c r="H14" s="15"/>
      <c r="J14" s="7"/>
      <c r="K14" s="7"/>
      <c r="L14" s="7"/>
      <c r="M14" s="42"/>
    </row>
    <row r="15" spans="1:16" x14ac:dyDescent="0.25">
      <c r="A15" s="22" t="s">
        <v>29</v>
      </c>
      <c r="B15" s="22">
        <f>SUM(B12:B14)</f>
        <v>0</v>
      </c>
      <c r="C15" s="22">
        <f>SUM(C12:C14)</f>
        <v>0</v>
      </c>
      <c r="D15" s="22">
        <f>B15+C15</f>
        <v>0</v>
      </c>
      <c r="E15" s="41" t="e">
        <f>F15/D15</f>
        <v>#DIV/0!</v>
      </c>
      <c r="F15" s="25">
        <f>SUM(F12:F14)</f>
        <v>0</v>
      </c>
      <c r="G15" s="25">
        <f>SUM(G12:G14)</f>
        <v>0</v>
      </c>
      <c r="H15" s="26"/>
      <c r="J15" s="7"/>
      <c r="K15" s="7"/>
      <c r="L15" s="7"/>
      <c r="M15" s="42"/>
    </row>
    <row r="16" spans="1:16" x14ac:dyDescent="0.25">
      <c r="A16" s="2"/>
      <c r="B16" s="10"/>
      <c r="C16" s="10"/>
      <c r="D16" s="10"/>
      <c r="E16" s="27"/>
      <c r="F16" s="3"/>
      <c r="G16" s="3"/>
      <c r="H16" s="15"/>
      <c r="J16" s="1" t="s">
        <v>56</v>
      </c>
      <c r="K16" s="3"/>
      <c r="L16" s="1"/>
      <c r="M16" s="42"/>
    </row>
    <row r="17" spans="1:16" x14ac:dyDescent="0.25">
      <c r="A17" s="2" t="s">
        <v>54</v>
      </c>
      <c r="B17" s="36"/>
      <c r="C17" s="37"/>
      <c r="D17" s="37"/>
      <c r="E17" s="4"/>
      <c r="F17" s="3"/>
      <c r="G17" s="3"/>
      <c r="H17" s="15"/>
      <c r="J17" s="1" t="s">
        <v>15</v>
      </c>
      <c r="K17" s="3"/>
      <c r="L17" s="1"/>
      <c r="M17" s="42"/>
    </row>
    <row r="18" spans="1:16" x14ac:dyDescent="0.25">
      <c r="A18" s="1" t="s">
        <v>7</v>
      </c>
      <c r="B18" s="39"/>
      <c r="C18" s="39"/>
      <c r="D18" s="36">
        <f t="shared" ref="D18:D21" si="0">SUM(D15:D17)</f>
        <v>0</v>
      </c>
      <c r="E18" s="1" t="e">
        <f>F18/D18</f>
        <v>#DIV/0!</v>
      </c>
      <c r="F18" s="3"/>
      <c r="G18" s="3"/>
      <c r="H18" s="15"/>
      <c r="J18" s="1" t="s">
        <v>31</v>
      </c>
      <c r="K18" s="3"/>
      <c r="L18" s="1"/>
      <c r="M18" s="42"/>
    </row>
    <row r="19" spans="1:16" x14ac:dyDescent="0.25">
      <c r="A19" s="1" t="s">
        <v>10</v>
      </c>
      <c r="B19" s="39"/>
      <c r="C19" s="39"/>
      <c r="D19" s="36">
        <f t="shared" si="0"/>
        <v>0</v>
      </c>
      <c r="E19" s="1" t="e">
        <f>F19/D19</f>
        <v>#DIV/0!</v>
      </c>
      <c r="F19" s="3"/>
      <c r="G19" s="3"/>
      <c r="H19" s="15"/>
      <c r="J19" s="1" t="s">
        <v>32</v>
      </c>
      <c r="K19" s="3"/>
      <c r="L19" s="1"/>
    </row>
    <row r="20" spans="1:16" x14ac:dyDescent="0.25">
      <c r="A20" s="1" t="s">
        <v>11</v>
      </c>
      <c r="B20" s="39"/>
      <c r="C20" s="39"/>
      <c r="D20" s="36">
        <f t="shared" si="0"/>
        <v>0</v>
      </c>
      <c r="E20" s="1" t="e">
        <f>F20/D20</f>
        <v>#DIV/0!</v>
      </c>
      <c r="F20" s="3"/>
      <c r="G20" s="3"/>
      <c r="H20" s="15"/>
      <c r="J20" s="1" t="s">
        <v>14</v>
      </c>
      <c r="K20" s="3"/>
      <c r="L20" s="1"/>
    </row>
    <row r="21" spans="1:16" x14ac:dyDescent="0.25">
      <c r="A21" s="22" t="s">
        <v>30</v>
      </c>
      <c r="B21" s="39"/>
      <c r="C21" s="22"/>
      <c r="D21" s="22">
        <f t="shared" si="0"/>
        <v>0</v>
      </c>
      <c r="E21" s="24"/>
      <c r="F21" s="25">
        <f>SUM(F18:F20)</f>
        <v>0</v>
      </c>
      <c r="G21" s="25">
        <f>SUM(G18:G20)</f>
        <v>0</v>
      </c>
      <c r="H21" s="26"/>
      <c r="J21" s="1" t="s">
        <v>24</v>
      </c>
      <c r="K21" s="3"/>
      <c r="L21" s="1"/>
    </row>
    <row r="22" spans="1:16" x14ac:dyDescent="0.25">
      <c r="A22" s="2"/>
      <c r="B22" s="36"/>
      <c r="C22" s="36"/>
      <c r="D22" s="1"/>
      <c r="E22" s="40"/>
      <c r="F22" s="3"/>
      <c r="G22" s="3"/>
      <c r="H22" s="15"/>
      <c r="J22" s="2" t="s">
        <v>16</v>
      </c>
      <c r="K22" s="10">
        <f>SUM(K16:K21)</f>
        <v>0</v>
      </c>
      <c r="L22" s="1"/>
    </row>
    <row r="23" spans="1:16" x14ac:dyDescent="0.25">
      <c r="A23" s="2" t="s">
        <v>55</v>
      </c>
      <c r="B23" s="36"/>
      <c r="C23" s="36"/>
      <c r="D23" s="1"/>
      <c r="E23" s="40"/>
      <c r="F23" s="3"/>
      <c r="G23" s="3"/>
      <c r="H23" s="15"/>
    </row>
    <row r="24" spans="1:16" x14ac:dyDescent="0.25">
      <c r="A24" s="1" t="s">
        <v>39</v>
      </c>
      <c r="B24" s="39"/>
      <c r="C24" s="51"/>
      <c r="D24" s="38">
        <f t="shared" ref="D24:D28" si="1">SUM(D21)</f>
        <v>0</v>
      </c>
      <c r="E24" s="1" t="e">
        <f>F24/D24</f>
        <v>#DIV/0!</v>
      </c>
      <c r="F24" s="3"/>
      <c r="G24" s="3"/>
      <c r="H24" s="15"/>
    </row>
    <row r="25" spans="1:16" x14ac:dyDescent="0.25">
      <c r="A25" s="1" t="s">
        <v>9</v>
      </c>
      <c r="B25" s="39"/>
      <c r="C25" s="39"/>
      <c r="D25" s="36">
        <f t="shared" si="1"/>
        <v>0</v>
      </c>
      <c r="E25" s="1" t="e">
        <f>F25/D25</f>
        <v>#DIV/0!</v>
      </c>
      <c r="F25" s="3"/>
      <c r="G25" s="18"/>
      <c r="H25" s="15"/>
    </row>
    <row r="26" spans="1:16" x14ac:dyDescent="0.25">
      <c r="A26" s="1" t="s">
        <v>8</v>
      </c>
      <c r="B26" s="39"/>
      <c r="C26" s="39"/>
      <c r="D26" s="36">
        <f t="shared" si="1"/>
        <v>0</v>
      </c>
      <c r="E26" s="1" t="e">
        <f>F26/D26</f>
        <v>#DIV/0!</v>
      </c>
      <c r="F26" s="3"/>
      <c r="G26" s="3"/>
      <c r="H26" s="15"/>
      <c r="J26" s="34" t="s">
        <v>44</v>
      </c>
      <c r="K26" s="47" t="s">
        <v>50</v>
      </c>
      <c r="L26" s="44" t="s">
        <v>49</v>
      </c>
      <c r="M26" s="44" t="s">
        <v>59</v>
      </c>
      <c r="N26" s="45" t="s">
        <v>43</v>
      </c>
      <c r="O26" s="48" t="s">
        <v>22</v>
      </c>
      <c r="P26" s="49" t="s">
        <v>1</v>
      </c>
    </row>
    <row r="27" spans="1:16" x14ac:dyDescent="0.25">
      <c r="A27" s="1" t="s">
        <v>41</v>
      </c>
      <c r="B27" s="39"/>
      <c r="C27" s="39"/>
      <c r="D27" s="36">
        <f t="shared" si="1"/>
        <v>0</v>
      </c>
      <c r="E27" s="1" t="e">
        <f>F27/D27</f>
        <v>#DIV/0!</v>
      </c>
      <c r="F27" s="3"/>
      <c r="G27" s="3"/>
      <c r="H27" s="15"/>
      <c r="I27" s="20"/>
      <c r="J27" s="36" t="s">
        <v>42</v>
      </c>
      <c r="K27" s="36"/>
      <c r="L27" s="36"/>
      <c r="M27" s="38"/>
      <c r="N27" s="36"/>
      <c r="O27" s="35"/>
      <c r="P27" s="35"/>
    </row>
    <row r="28" spans="1:16" x14ac:dyDescent="0.25">
      <c r="A28" s="22" t="s">
        <v>30</v>
      </c>
      <c r="B28" s="22"/>
      <c r="C28" s="43"/>
      <c r="D28" s="43">
        <f t="shared" si="1"/>
        <v>0</v>
      </c>
      <c r="E28" s="24"/>
      <c r="F28" s="25">
        <f>SUM(F24:F27)</f>
        <v>0</v>
      </c>
      <c r="G28" s="25">
        <f>SUM(G24:G27)</f>
        <v>0</v>
      </c>
      <c r="H28" s="26"/>
      <c r="J28" s="36" t="s">
        <v>48</v>
      </c>
      <c r="K28" s="36">
        <v>0</v>
      </c>
      <c r="L28" s="36"/>
      <c r="M28" s="38"/>
      <c r="N28" s="36"/>
      <c r="O28" s="50"/>
      <c r="P28" s="50"/>
    </row>
    <row r="29" spans="1:16" x14ac:dyDescent="0.25">
      <c r="A29" s="2"/>
      <c r="B29" s="2"/>
      <c r="C29" s="2"/>
      <c r="D29" s="2"/>
      <c r="E29" s="27"/>
      <c r="F29" s="3"/>
      <c r="G29" s="3"/>
      <c r="H29" s="15"/>
      <c r="J29" s="36" t="s">
        <v>58</v>
      </c>
      <c r="K29" s="36"/>
      <c r="L29" s="36"/>
      <c r="M29" s="38"/>
      <c r="N29" s="36"/>
      <c r="O29" s="35"/>
      <c r="P29" s="35">
        <v>0</v>
      </c>
    </row>
    <row r="30" spans="1:16" x14ac:dyDescent="0.25">
      <c r="A30" s="22" t="s">
        <v>57</v>
      </c>
      <c r="B30" s="22"/>
      <c r="C30" s="22"/>
      <c r="D30" s="22"/>
      <c r="E30" s="23"/>
      <c r="F30" s="24"/>
      <c r="G30" s="24"/>
      <c r="H30" s="23"/>
      <c r="J30" s="22" t="s">
        <v>47</v>
      </c>
      <c r="K30" s="22">
        <f>SUM(K27:K29)</f>
        <v>0</v>
      </c>
      <c r="L30" s="22">
        <f>SUM(L27:L29)</f>
        <v>0</v>
      </c>
      <c r="M30" s="43">
        <f>SUM(M27:M28)</f>
        <v>0</v>
      </c>
      <c r="N30" s="22">
        <f>SUM(N27:N28)</f>
        <v>0</v>
      </c>
      <c r="O30" s="25">
        <f>SUM(O27:O29)</f>
        <v>0</v>
      </c>
      <c r="P30" s="25">
        <f>SUM(P27:P29)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Copy</vt:lpstr>
      <vt:lpstr>Sept</vt:lpstr>
      <vt:lpstr>Oct</vt:lpstr>
      <vt:lpstr>Nov</vt:lpstr>
      <vt:lpstr>Dec</vt:lpstr>
      <vt:lpstr>Jan-26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Haley</dc:creator>
  <cp:lastModifiedBy>Lori Haley</cp:lastModifiedBy>
  <cp:lastPrinted>2025-07-14T21:08:03Z</cp:lastPrinted>
  <dcterms:created xsi:type="dcterms:W3CDTF">2024-09-19T22:53:10Z</dcterms:created>
  <dcterms:modified xsi:type="dcterms:W3CDTF">2026-01-28T23:38:48Z</dcterms:modified>
</cp:coreProperties>
</file>